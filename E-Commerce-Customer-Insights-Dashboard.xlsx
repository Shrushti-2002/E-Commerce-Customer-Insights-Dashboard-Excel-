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2.xml" ContentType="application/vnd.ms-office.chartstyle+xml"/>
  <Override PartName="/xl/charts/colors2.xml" ContentType="application/vnd.ms-office.chartcolorstyle+xml"/>
  <Override PartName="/xl/charts/chart1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pivotTables/pivotTable8.xml" ContentType="application/vnd.openxmlformats-officedocument.spreadsheetml.pivotTab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cuments\"/>
    </mc:Choice>
  </mc:AlternateContent>
  <bookViews>
    <workbookView xWindow="0" yWindow="0" windowWidth="20490" windowHeight="7755" firstSheet="2" activeTab="9"/>
  </bookViews>
  <sheets>
    <sheet name="Sheet2" sheetId="12" state="hidden" r:id="rId1"/>
    <sheet name="Sheet3" sheetId="13" state="hidden" r:id="rId2"/>
    <sheet name="ecommerce_data" sheetId="1" r:id="rId3"/>
    <sheet name="Pivot Table 14" sheetId="2" state="hidden" r:id="rId4"/>
    <sheet name="Pivot Table 12" sheetId="3" state="hidden" r:id="rId5"/>
    <sheet name="Pivot Table 11" sheetId="4" state="hidden" r:id="rId6"/>
    <sheet name="Pivot Table 9" sheetId="5" state="hidden" r:id="rId7"/>
    <sheet name="Total Revenue" sheetId="6" r:id="rId8"/>
    <sheet name="Top_Customers" sheetId="7" r:id="rId9"/>
    <sheet name="Dashboard" sheetId="8" r:id="rId10"/>
    <sheet name="Pivot Table 4" sheetId="9" state="hidden" r:id="rId11"/>
    <sheet name="Pivot Table 2" sheetId="10" state="hidden" r:id="rId12"/>
  </sheets>
  <definedNames>
    <definedName name="_xlnm._FilterDatabase" localSheetId="2" hidden="1">ecommerce_data!$A$1:$K$702</definedName>
    <definedName name="_xlnm._FilterDatabase" localSheetId="5" hidden="1">'Pivot Table 11'!$A$1:$A$1000</definedName>
    <definedName name="_xlnm._FilterDatabase" localSheetId="4" hidden="1">'Pivot Table 12'!$A$1:$A$1000</definedName>
    <definedName name="_xlnm._FilterDatabase" localSheetId="3" hidden="1">'Pivot Table 14'!$A$1:$A$1000</definedName>
    <definedName name="_xlnm._FilterDatabase" localSheetId="11" hidden="1">'Pivot Table 2'!$A$1:$B$9</definedName>
    <definedName name="_xlnm._FilterDatabase" localSheetId="10" hidden="1">'Pivot Table 4'!$A$1:$B$4</definedName>
    <definedName name="_xlnm._FilterDatabase" localSheetId="6" hidden="1">'Pivot Table 9'!$A$1:$A$1000</definedName>
    <definedName name="Slicer_Location">#N/A</definedName>
    <definedName name="Slicer_Month">#N/A</definedName>
    <definedName name="Slicer_Product_Category">#N/A</definedName>
    <definedName name="Z_E29A42F8_147C_49F6_B80E_B2B89CA2AF87_.wvu.FilterData" localSheetId="2" hidden="1">ecommerce_data!$A$1:$N$701</definedName>
  </definedNames>
  <calcPr calcId="152511"/>
  <customWorkbookViews>
    <customWorkbookView name="Filter 1" guid="{E29A42F8-147C-49F6-B80E-B2B89CA2AF87}" maximized="1" windowWidth="0" windowHeight="0" activeSheetId="0"/>
  </customWorkbookViews>
  <pivotCaches>
    <pivotCache cacheId="4" r:id="rId13"/>
    <pivotCache cacheId="8" r:id="rId14"/>
    <pivotCache cacheId="11" r:id="rId15"/>
    <pivotCache cacheId="14" r:id="rId16"/>
    <pivotCache cacheId="17"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1" l="1"/>
  <c r="I7" i="1"/>
  <c r="H7" i="1" s="1"/>
  <c r="B6" i="6"/>
  <c r="B5" i="6"/>
  <c r="B4" i="6"/>
  <c r="B3" i="6"/>
  <c r="B2" i="6"/>
  <c r="J701" i="1"/>
  <c r="I701" i="1"/>
  <c r="H701" i="1" s="1"/>
  <c r="C701" i="1"/>
  <c r="J700" i="1"/>
  <c r="I700" i="1"/>
  <c r="H700" i="1" s="1"/>
  <c r="C700" i="1"/>
  <c r="J699" i="1"/>
  <c r="I699" i="1"/>
  <c r="H699" i="1" s="1"/>
  <c r="C699" i="1"/>
  <c r="J698" i="1"/>
  <c r="I698" i="1"/>
  <c r="H698" i="1" s="1"/>
  <c r="C698" i="1"/>
  <c r="J697" i="1"/>
  <c r="I697" i="1"/>
  <c r="H697" i="1" s="1"/>
  <c r="C697" i="1"/>
  <c r="J696" i="1"/>
  <c r="I696" i="1"/>
  <c r="H696" i="1" s="1"/>
  <c r="C696" i="1"/>
  <c r="J695" i="1"/>
  <c r="I695" i="1"/>
  <c r="H695" i="1" s="1"/>
  <c r="C695" i="1"/>
  <c r="J694" i="1"/>
  <c r="I694" i="1"/>
  <c r="H694" i="1" s="1"/>
  <c r="C694" i="1"/>
  <c r="J693" i="1"/>
  <c r="I693" i="1"/>
  <c r="H693" i="1" s="1"/>
  <c r="C693" i="1"/>
  <c r="J692" i="1"/>
  <c r="I692" i="1"/>
  <c r="H692" i="1" s="1"/>
  <c r="C692" i="1"/>
  <c r="J691" i="1"/>
  <c r="I691" i="1"/>
  <c r="H691" i="1" s="1"/>
  <c r="C691" i="1"/>
  <c r="J690" i="1"/>
  <c r="I690" i="1"/>
  <c r="H690" i="1" s="1"/>
  <c r="C690" i="1"/>
  <c r="J689" i="1"/>
  <c r="I689" i="1"/>
  <c r="H689" i="1" s="1"/>
  <c r="C689" i="1"/>
  <c r="J688" i="1"/>
  <c r="I688" i="1"/>
  <c r="H688" i="1" s="1"/>
  <c r="C688" i="1"/>
  <c r="J687" i="1"/>
  <c r="I687" i="1"/>
  <c r="H687" i="1" s="1"/>
  <c r="C687" i="1"/>
  <c r="J686" i="1"/>
  <c r="I686" i="1"/>
  <c r="H686" i="1" s="1"/>
  <c r="C686" i="1"/>
  <c r="J685" i="1"/>
  <c r="I685" i="1"/>
  <c r="H685" i="1" s="1"/>
  <c r="C685" i="1"/>
  <c r="J684" i="1"/>
  <c r="I684" i="1"/>
  <c r="H684" i="1" s="1"/>
  <c r="C684" i="1"/>
  <c r="J683" i="1"/>
  <c r="I683" i="1"/>
  <c r="H683" i="1" s="1"/>
  <c r="C683" i="1"/>
  <c r="J682" i="1"/>
  <c r="I682" i="1"/>
  <c r="H682" i="1" s="1"/>
  <c r="C682" i="1"/>
  <c r="J681" i="1"/>
  <c r="I681" i="1"/>
  <c r="H681" i="1" s="1"/>
  <c r="C681" i="1"/>
  <c r="J680" i="1"/>
  <c r="I680" i="1"/>
  <c r="H680" i="1" s="1"/>
  <c r="C680" i="1"/>
  <c r="J679" i="1"/>
  <c r="I679" i="1"/>
  <c r="H679" i="1" s="1"/>
  <c r="C679" i="1"/>
  <c r="J678" i="1"/>
  <c r="I678" i="1"/>
  <c r="H678" i="1" s="1"/>
  <c r="C678" i="1"/>
  <c r="J677" i="1"/>
  <c r="I677" i="1"/>
  <c r="H677" i="1" s="1"/>
  <c r="C677" i="1"/>
  <c r="J676" i="1"/>
  <c r="I676" i="1"/>
  <c r="H676" i="1" s="1"/>
  <c r="C676" i="1"/>
  <c r="J675" i="1"/>
  <c r="I675" i="1"/>
  <c r="H675" i="1" s="1"/>
  <c r="C675" i="1"/>
  <c r="J674" i="1"/>
  <c r="I674" i="1"/>
  <c r="H674" i="1" s="1"/>
  <c r="C674" i="1"/>
  <c r="J673" i="1"/>
  <c r="I673" i="1"/>
  <c r="H673" i="1" s="1"/>
  <c r="C673" i="1"/>
  <c r="J672" i="1"/>
  <c r="I672" i="1"/>
  <c r="H672" i="1" s="1"/>
  <c r="C672" i="1"/>
  <c r="J671" i="1"/>
  <c r="I671" i="1"/>
  <c r="H671" i="1" s="1"/>
  <c r="C671" i="1"/>
  <c r="J670" i="1"/>
  <c r="I670" i="1"/>
  <c r="H670" i="1" s="1"/>
  <c r="C670" i="1"/>
  <c r="J669" i="1"/>
  <c r="I669" i="1"/>
  <c r="H669" i="1" s="1"/>
  <c r="C669" i="1"/>
  <c r="J668" i="1"/>
  <c r="I668" i="1"/>
  <c r="H668" i="1" s="1"/>
  <c r="C668" i="1"/>
  <c r="J667" i="1"/>
  <c r="I667" i="1"/>
  <c r="H667" i="1" s="1"/>
  <c r="C667" i="1"/>
  <c r="J666" i="1"/>
  <c r="I666" i="1"/>
  <c r="H666" i="1" s="1"/>
  <c r="C666" i="1"/>
  <c r="J665" i="1"/>
  <c r="I665" i="1"/>
  <c r="H665" i="1" s="1"/>
  <c r="C665" i="1"/>
  <c r="J664" i="1"/>
  <c r="I664" i="1"/>
  <c r="H664" i="1" s="1"/>
  <c r="C664" i="1"/>
  <c r="J663" i="1"/>
  <c r="I663" i="1"/>
  <c r="H663" i="1" s="1"/>
  <c r="C663" i="1"/>
  <c r="J662" i="1"/>
  <c r="I662" i="1"/>
  <c r="H662" i="1" s="1"/>
  <c r="C662" i="1"/>
  <c r="J661" i="1"/>
  <c r="I661" i="1"/>
  <c r="H661" i="1" s="1"/>
  <c r="C661" i="1"/>
  <c r="J660" i="1"/>
  <c r="I660" i="1"/>
  <c r="H660" i="1" s="1"/>
  <c r="C660" i="1"/>
  <c r="J659" i="1"/>
  <c r="I659" i="1"/>
  <c r="H659" i="1" s="1"/>
  <c r="C659" i="1"/>
  <c r="J658" i="1"/>
  <c r="I658" i="1"/>
  <c r="H658" i="1" s="1"/>
  <c r="C658" i="1"/>
  <c r="J657" i="1"/>
  <c r="I657" i="1"/>
  <c r="H657" i="1" s="1"/>
  <c r="C657" i="1"/>
  <c r="J656" i="1"/>
  <c r="I656" i="1"/>
  <c r="H656" i="1" s="1"/>
  <c r="C656" i="1"/>
  <c r="J655" i="1"/>
  <c r="I655" i="1"/>
  <c r="H655" i="1" s="1"/>
  <c r="C655" i="1"/>
  <c r="J654" i="1"/>
  <c r="I654" i="1"/>
  <c r="H654" i="1" s="1"/>
  <c r="C654" i="1"/>
  <c r="J653" i="1"/>
  <c r="I653" i="1"/>
  <c r="H653" i="1" s="1"/>
  <c r="C653" i="1"/>
  <c r="J652" i="1"/>
  <c r="I652" i="1"/>
  <c r="H652" i="1" s="1"/>
  <c r="C652" i="1"/>
  <c r="J651" i="1"/>
  <c r="I651" i="1"/>
  <c r="H651" i="1" s="1"/>
  <c r="C651" i="1"/>
  <c r="J650" i="1"/>
  <c r="I650" i="1"/>
  <c r="H650" i="1" s="1"/>
  <c r="C650" i="1"/>
  <c r="J649" i="1"/>
  <c r="I649" i="1"/>
  <c r="H649" i="1" s="1"/>
  <c r="C649" i="1"/>
  <c r="J648" i="1"/>
  <c r="I648" i="1"/>
  <c r="H648" i="1" s="1"/>
  <c r="C648" i="1"/>
  <c r="J647" i="1"/>
  <c r="I647" i="1"/>
  <c r="H647" i="1" s="1"/>
  <c r="C647" i="1"/>
  <c r="J646" i="1"/>
  <c r="I646" i="1"/>
  <c r="H646" i="1" s="1"/>
  <c r="C646" i="1"/>
  <c r="J645" i="1"/>
  <c r="I645" i="1"/>
  <c r="H645" i="1" s="1"/>
  <c r="C645" i="1"/>
  <c r="J644" i="1"/>
  <c r="I644" i="1"/>
  <c r="H644" i="1" s="1"/>
  <c r="C644" i="1"/>
  <c r="J643" i="1"/>
  <c r="I643" i="1"/>
  <c r="H643" i="1" s="1"/>
  <c r="C643" i="1"/>
  <c r="J642" i="1"/>
  <c r="I642" i="1"/>
  <c r="H642" i="1" s="1"/>
  <c r="C642" i="1"/>
  <c r="J641" i="1"/>
  <c r="I641" i="1"/>
  <c r="H641" i="1" s="1"/>
  <c r="C641" i="1"/>
  <c r="J640" i="1"/>
  <c r="I640" i="1"/>
  <c r="H640" i="1" s="1"/>
  <c r="C640" i="1"/>
  <c r="J639" i="1"/>
  <c r="I639" i="1"/>
  <c r="H639" i="1" s="1"/>
  <c r="C639" i="1"/>
  <c r="J638" i="1"/>
  <c r="I638" i="1"/>
  <c r="H638" i="1" s="1"/>
  <c r="C638" i="1"/>
  <c r="J637" i="1"/>
  <c r="I637" i="1"/>
  <c r="H637" i="1" s="1"/>
  <c r="C637" i="1"/>
  <c r="J636" i="1"/>
  <c r="I636" i="1"/>
  <c r="H636" i="1" s="1"/>
  <c r="C636" i="1"/>
  <c r="J635" i="1"/>
  <c r="I635" i="1"/>
  <c r="H635" i="1" s="1"/>
  <c r="C635" i="1"/>
  <c r="J634" i="1"/>
  <c r="I634" i="1"/>
  <c r="H634" i="1" s="1"/>
  <c r="C634" i="1"/>
  <c r="J633" i="1"/>
  <c r="I633" i="1"/>
  <c r="H633" i="1" s="1"/>
  <c r="C633" i="1"/>
  <c r="J632" i="1"/>
  <c r="I632" i="1"/>
  <c r="H632" i="1" s="1"/>
  <c r="C632" i="1"/>
  <c r="J631" i="1"/>
  <c r="I631" i="1"/>
  <c r="H631" i="1" s="1"/>
  <c r="C631" i="1"/>
  <c r="J630" i="1"/>
  <c r="I630" i="1"/>
  <c r="H630" i="1" s="1"/>
  <c r="C630" i="1"/>
  <c r="J629" i="1"/>
  <c r="I629" i="1"/>
  <c r="H629" i="1" s="1"/>
  <c r="C629" i="1"/>
  <c r="J628" i="1"/>
  <c r="I628" i="1"/>
  <c r="H628" i="1" s="1"/>
  <c r="C628" i="1"/>
  <c r="J627" i="1"/>
  <c r="I627" i="1"/>
  <c r="H627" i="1" s="1"/>
  <c r="C627" i="1"/>
  <c r="J626" i="1"/>
  <c r="I626" i="1"/>
  <c r="H626" i="1" s="1"/>
  <c r="C626" i="1"/>
  <c r="J625" i="1"/>
  <c r="I625" i="1"/>
  <c r="H625" i="1" s="1"/>
  <c r="C625" i="1"/>
  <c r="J624" i="1"/>
  <c r="I624" i="1"/>
  <c r="H624" i="1" s="1"/>
  <c r="C624" i="1"/>
  <c r="J623" i="1"/>
  <c r="I623" i="1"/>
  <c r="H623" i="1" s="1"/>
  <c r="C623" i="1"/>
  <c r="J622" i="1"/>
  <c r="I622" i="1"/>
  <c r="H622" i="1" s="1"/>
  <c r="C622" i="1"/>
  <c r="J621" i="1"/>
  <c r="I621" i="1"/>
  <c r="H621" i="1" s="1"/>
  <c r="C621" i="1"/>
  <c r="J620" i="1"/>
  <c r="I620" i="1"/>
  <c r="H620" i="1" s="1"/>
  <c r="C620" i="1"/>
  <c r="J619" i="1"/>
  <c r="I619" i="1"/>
  <c r="H619" i="1" s="1"/>
  <c r="C619" i="1"/>
  <c r="J618" i="1"/>
  <c r="I618" i="1"/>
  <c r="H618" i="1" s="1"/>
  <c r="C618" i="1"/>
  <c r="J617" i="1"/>
  <c r="I617" i="1"/>
  <c r="H617" i="1" s="1"/>
  <c r="C617" i="1"/>
  <c r="J616" i="1"/>
  <c r="I616" i="1"/>
  <c r="H616" i="1" s="1"/>
  <c r="C616" i="1"/>
  <c r="J615" i="1"/>
  <c r="I615" i="1"/>
  <c r="H615" i="1" s="1"/>
  <c r="C615" i="1"/>
  <c r="J614" i="1"/>
  <c r="I614" i="1"/>
  <c r="H614" i="1" s="1"/>
  <c r="C614" i="1"/>
  <c r="J613" i="1"/>
  <c r="I613" i="1"/>
  <c r="H613" i="1" s="1"/>
  <c r="C613" i="1"/>
  <c r="J612" i="1"/>
  <c r="I612" i="1"/>
  <c r="H612" i="1" s="1"/>
  <c r="C612" i="1"/>
  <c r="J611" i="1"/>
  <c r="I611" i="1"/>
  <c r="H611" i="1" s="1"/>
  <c r="C611" i="1"/>
  <c r="J610" i="1"/>
  <c r="I610" i="1"/>
  <c r="H610" i="1" s="1"/>
  <c r="C610" i="1"/>
  <c r="J609" i="1"/>
  <c r="I609" i="1"/>
  <c r="H609" i="1" s="1"/>
  <c r="C609" i="1"/>
  <c r="J608" i="1"/>
  <c r="I608" i="1"/>
  <c r="H608" i="1" s="1"/>
  <c r="C608" i="1"/>
  <c r="J607" i="1"/>
  <c r="I607" i="1"/>
  <c r="H607" i="1" s="1"/>
  <c r="C607" i="1"/>
  <c r="J606" i="1"/>
  <c r="I606" i="1"/>
  <c r="H606" i="1" s="1"/>
  <c r="C606" i="1"/>
  <c r="J605" i="1"/>
  <c r="I605" i="1"/>
  <c r="H605" i="1" s="1"/>
  <c r="C605" i="1"/>
  <c r="J604" i="1"/>
  <c r="I604" i="1"/>
  <c r="H604" i="1" s="1"/>
  <c r="C604" i="1"/>
  <c r="J603" i="1"/>
  <c r="I603" i="1"/>
  <c r="H603" i="1" s="1"/>
  <c r="C603" i="1"/>
  <c r="J602" i="1"/>
  <c r="I602" i="1"/>
  <c r="H602" i="1" s="1"/>
  <c r="C602" i="1"/>
  <c r="J601" i="1"/>
  <c r="I601" i="1"/>
  <c r="H601" i="1" s="1"/>
  <c r="C601" i="1"/>
  <c r="J600" i="1"/>
  <c r="I600" i="1"/>
  <c r="H600" i="1" s="1"/>
  <c r="C600" i="1"/>
  <c r="J599" i="1"/>
  <c r="I599" i="1"/>
  <c r="H599" i="1" s="1"/>
  <c r="C599" i="1"/>
  <c r="J598" i="1"/>
  <c r="I598" i="1"/>
  <c r="H598" i="1" s="1"/>
  <c r="C598" i="1"/>
  <c r="J597" i="1"/>
  <c r="I597" i="1"/>
  <c r="H597" i="1" s="1"/>
  <c r="C597" i="1"/>
  <c r="J596" i="1"/>
  <c r="I596" i="1"/>
  <c r="H596" i="1" s="1"/>
  <c r="C596" i="1"/>
  <c r="J595" i="1"/>
  <c r="I595" i="1"/>
  <c r="H595" i="1" s="1"/>
  <c r="C595" i="1"/>
  <c r="J594" i="1"/>
  <c r="I594" i="1"/>
  <c r="H594" i="1" s="1"/>
  <c r="C594" i="1"/>
  <c r="J593" i="1"/>
  <c r="I593" i="1"/>
  <c r="H593" i="1" s="1"/>
  <c r="C593" i="1"/>
  <c r="J592" i="1"/>
  <c r="I592" i="1"/>
  <c r="H592" i="1" s="1"/>
  <c r="C592" i="1"/>
  <c r="J591" i="1"/>
  <c r="I591" i="1"/>
  <c r="H591" i="1" s="1"/>
  <c r="C591" i="1"/>
  <c r="J590" i="1"/>
  <c r="I590" i="1"/>
  <c r="H590" i="1" s="1"/>
  <c r="C590" i="1"/>
  <c r="J589" i="1"/>
  <c r="I589" i="1"/>
  <c r="H589" i="1" s="1"/>
  <c r="C589" i="1"/>
  <c r="J588" i="1"/>
  <c r="I588" i="1"/>
  <c r="H588" i="1" s="1"/>
  <c r="C588" i="1"/>
  <c r="J587" i="1"/>
  <c r="I587" i="1"/>
  <c r="H587" i="1" s="1"/>
  <c r="C587" i="1"/>
  <c r="J586" i="1"/>
  <c r="I586" i="1"/>
  <c r="H586" i="1" s="1"/>
  <c r="C586" i="1"/>
  <c r="J585" i="1"/>
  <c r="I585" i="1"/>
  <c r="H585" i="1" s="1"/>
  <c r="C585" i="1"/>
  <c r="J584" i="1"/>
  <c r="I584" i="1"/>
  <c r="H584" i="1" s="1"/>
  <c r="C584" i="1"/>
  <c r="J583" i="1"/>
  <c r="I583" i="1"/>
  <c r="H583" i="1" s="1"/>
  <c r="C583" i="1"/>
  <c r="J582" i="1"/>
  <c r="I582" i="1"/>
  <c r="H582" i="1" s="1"/>
  <c r="C582" i="1"/>
  <c r="J581" i="1"/>
  <c r="I581" i="1"/>
  <c r="H581" i="1" s="1"/>
  <c r="C581" i="1"/>
  <c r="J580" i="1"/>
  <c r="I580" i="1"/>
  <c r="H580" i="1" s="1"/>
  <c r="C580" i="1"/>
  <c r="J579" i="1"/>
  <c r="I579" i="1"/>
  <c r="H579" i="1" s="1"/>
  <c r="C579" i="1"/>
  <c r="J578" i="1"/>
  <c r="I578" i="1"/>
  <c r="H578" i="1" s="1"/>
  <c r="C578" i="1"/>
  <c r="J577" i="1"/>
  <c r="I577" i="1"/>
  <c r="H577" i="1" s="1"/>
  <c r="C577" i="1"/>
  <c r="J576" i="1"/>
  <c r="I576" i="1"/>
  <c r="H576" i="1" s="1"/>
  <c r="C576" i="1"/>
  <c r="J575" i="1"/>
  <c r="I575" i="1"/>
  <c r="H575" i="1" s="1"/>
  <c r="C575" i="1"/>
  <c r="J574" i="1"/>
  <c r="I574" i="1"/>
  <c r="H574" i="1" s="1"/>
  <c r="C574" i="1"/>
  <c r="J573" i="1"/>
  <c r="I573" i="1"/>
  <c r="H573" i="1" s="1"/>
  <c r="C573" i="1"/>
  <c r="J572" i="1"/>
  <c r="I572" i="1"/>
  <c r="H572" i="1" s="1"/>
  <c r="C572" i="1"/>
  <c r="J571" i="1"/>
  <c r="I571" i="1"/>
  <c r="H571" i="1" s="1"/>
  <c r="C571" i="1"/>
  <c r="J570" i="1"/>
  <c r="I570" i="1"/>
  <c r="H570" i="1" s="1"/>
  <c r="C570" i="1"/>
  <c r="J569" i="1"/>
  <c r="I569" i="1"/>
  <c r="H569" i="1" s="1"/>
  <c r="C569" i="1"/>
  <c r="J568" i="1"/>
  <c r="I568" i="1"/>
  <c r="H568" i="1" s="1"/>
  <c r="C568" i="1"/>
  <c r="J567" i="1"/>
  <c r="I567" i="1"/>
  <c r="H567" i="1" s="1"/>
  <c r="C567" i="1"/>
  <c r="J566" i="1"/>
  <c r="I566" i="1"/>
  <c r="H566" i="1" s="1"/>
  <c r="C566" i="1"/>
  <c r="J565" i="1"/>
  <c r="I565" i="1"/>
  <c r="H565" i="1" s="1"/>
  <c r="C565" i="1"/>
  <c r="J564" i="1"/>
  <c r="I564" i="1"/>
  <c r="H564" i="1" s="1"/>
  <c r="C564" i="1"/>
  <c r="J563" i="1"/>
  <c r="I563" i="1"/>
  <c r="H563" i="1" s="1"/>
  <c r="C563" i="1"/>
  <c r="J562" i="1"/>
  <c r="I562" i="1"/>
  <c r="H562" i="1" s="1"/>
  <c r="C562" i="1"/>
  <c r="J561" i="1"/>
  <c r="I561" i="1"/>
  <c r="H561" i="1" s="1"/>
  <c r="C561" i="1"/>
  <c r="J560" i="1"/>
  <c r="I560" i="1"/>
  <c r="H560" i="1" s="1"/>
  <c r="C560" i="1"/>
  <c r="J559" i="1"/>
  <c r="I559" i="1"/>
  <c r="H559" i="1" s="1"/>
  <c r="C559" i="1"/>
  <c r="J558" i="1"/>
  <c r="I558" i="1"/>
  <c r="H558" i="1" s="1"/>
  <c r="C558" i="1"/>
  <c r="J557" i="1"/>
  <c r="I557" i="1"/>
  <c r="H557" i="1" s="1"/>
  <c r="C557" i="1"/>
  <c r="J556" i="1"/>
  <c r="I556" i="1"/>
  <c r="H556" i="1" s="1"/>
  <c r="C556" i="1"/>
  <c r="J555" i="1"/>
  <c r="I555" i="1"/>
  <c r="H555" i="1" s="1"/>
  <c r="C555" i="1"/>
  <c r="J554" i="1"/>
  <c r="I554" i="1"/>
  <c r="H554" i="1" s="1"/>
  <c r="C554" i="1"/>
  <c r="J553" i="1"/>
  <c r="I553" i="1"/>
  <c r="H553" i="1" s="1"/>
  <c r="C553" i="1"/>
  <c r="J552" i="1"/>
  <c r="I552" i="1"/>
  <c r="H552" i="1" s="1"/>
  <c r="C552" i="1"/>
  <c r="J551" i="1"/>
  <c r="I551" i="1"/>
  <c r="H551" i="1" s="1"/>
  <c r="C551" i="1"/>
  <c r="J550" i="1"/>
  <c r="I550" i="1"/>
  <c r="H550" i="1" s="1"/>
  <c r="C550" i="1"/>
  <c r="J549" i="1"/>
  <c r="I549" i="1"/>
  <c r="H549" i="1" s="1"/>
  <c r="C549" i="1"/>
  <c r="J548" i="1"/>
  <c r="I548" i="1"/>
  <c r="H548" i="1" s="1"/>
  <c r="C548" i="1"/>
  <c r="J547" i="1"/>
  <c r="I547" i="1"/>
  <c r="H547" i="1" s="1"/>
  <c r="C547" i="1"/>
  <c r="J546" i="1"/>
  <c r="I546" i="1"/>
  <c r="H546" i="1" s="1"/>
  <c r="C546" i="1"/>
  <c r="J545" i="1"/>
  <c r="I545" i="1"/>
  <c r="H545" i="1" s="1"/>
  <c r="C545" i="1"/>
  <c r="J544" i="1"/>
  <c r="I544" i="1"/>
  <c r="H544" i="1" s="1"/>
  <c r="C544" i="1"/>
  <c r="J543" i="1"/>
  <c r="I543" i="1"/>
  <c r="H543" i="1" s="1"/>
  <c r="C543" i="1"/>
  <c r="J542" i="1"/>
  <c r="I542" i="1"/>
  <c r="H542" i="1" s="1"/>
  <c r="C542" i="1"/>
  <c r="J541" i="1"/>
  <c r="I541" i="1"/>
  <c r="H541" i="1" s="1"/>
  <c r="C541" i="1"/>
  <c r="J540" i="1"/>
  <c r="I540" i="1"/>
  <c r="H540" i="1" s="1"/>
  <c r="C540" i="1"/>
  <c r="J539" i="1"/>
  <c r="I539" i="1"/>
  <c r="H539" i="1" s="1"/>
  <c r="C539" i="1"/>
  <c r="J538" i="1"/>
  <c r="I538" i="1"/>
  <c r="H538" i="1" s="1"/>
  <c r="C538" i="1"/>
  <c r="J537" i="1"/>
  <c r="I537" i="1"/>
  <c r="H537" i="1" s="1"/>
  <c r="C537" i="1"/>
  <c r="J536" i="1"/>
  <c r="I536" i="1"/>
  <c r="H536" i="1" s="1"/>
  <c r="C536" i="1"/>
  <c r="J535" i="1"/>
  <c r="I535" i="1"/>
  <c r="H535" i="1" s="1"/>
  <c r="C535" i="1"/>
  <c r="J534" i="1"/>
  <c r="I534" i="1"/>
  <c r="H534" i="1" s="1"/>
  <c r="C534" i="1"/>
  <c r="J533" i="1"/>
  <c r="I533" i="1"/>
  <c r="H533" i="1" s="1"/>
  <c r="C533" i="1"/>
  <c r="J532" i="1"/>
  <c r="I532" i="1"/>
  <c r="H532" i="1" s="1"/>
  <c r="C532" i="1"/>
  <c r="J531" i="1"/>
  <c r="I531" i="1"/>
  <c r="H531" i="1" s="1"/>
  <c r="C531" i="1"/>
  <c r="J530" i="1"/>
  <c r="I530" i="1"/>
  <c r="H530" i="1" s="1"/>
  <c r="C530" i="1"/>
  <c r="J529" i="1"/>
  <c r="I529" i="1"/>
  <c r="H529" i="1" s="1"/>
  <c r="C529" i="1"/>
  <c r="J528" i="1"/>
  <c r="I528" i="1"/>
  <c r="H528" i="1" s="1"/>
  <c r="C528" i="1"/>
  <c r="J527" i="1"/>
  <c r="I527" i="1"/>
  <c r="H527" i="1" s="1"/>
  <c r="C527" i="1"/>
  <c r="J526" i="1"/>
  <c r="I526" i="1"/>
  <c r="H526" i="1" s="1"/>
  <c r="C526" i="1"/>
  <c r="J525" i="1"/>
  <c r="I525" i="1"/>
  <c r="H525" i="1" s="1"/>
  <c r="C525" i="1"/>
  <c r="J524" i="1"/>
  <c r="I524" i="1"/>
  <c r="H524" i="1" s="1"/>
  <c r="C524" i="1"/>
  <c r="J523" i="1"/>
  <c r="I523" i="1"/>
  <c r="H523" i="1" s="1"/>
  <c r="C523" i="1"/>
  <c r="J522" i="1"/>
  <c r="I522" i="1"/>
  <c r="H522" i="1" s="1"/>
  <c r="C522" i="1"/>
  <c r="J521" i="1"/>
  <c r="I521" i="1"/>
  <c r="H521" i="1" s="1"/>
  <c r="C521" i="1"/>
  <c r="J520" i="1"/>
  <c r="I520" i="1"/>
  <c r="H520" i="1" s="1"/>
  <c r="C520" i="1"/>
  <c r="J519" i="1"/>
  <c r="I519" i="1"/>
  <c r="H519" i="1" s="1"/>
  <c r="C519" i="1"/>
  <c r="J518" i="1"/>
  <c r="I518" i="1"/>
  <c r="H518" i="1" s="1"/>
  <c r="C518" i="1"/>
  <c r="J517" i="1"/>
  <c r="I517" i="1"/>
  <c r="H517" i="1" s="1"/>
  <c r="C517" i="1"/>
  <c r="J516" i="1"/>
  <c r="I516" i="1"/>
  <c r="H516" i="1" s="1"/>
  <c r="C516" i="1"/>
  <c r="J515" i="1"/>
  <c r="I515" i="1"/>
  <c r="H515" i="1" s="1"/>
  <c r="C515" i="1"/>
  <c r="J514" i="1"/>
  <c r="I514" i="1"/>
  <c r="H514" i="1" s="1"/>
  <c r="C514" i="1"/>
  <c r="J513" i="1"/>
  <c r="I513" i="1"/>
  <c r="H513" i="1" s="1"/>
  <c r="C513" i="1"/>
  <c r="J512" i="1"/>
  <c r="I512" i="1"/>
  <c r="H512" i="1" s="1"/>
  <c r="C512" i="1"/>
  <c r="J511" i="1"/>
  <c r="I511" i="1"/>
  <c r="H511" i="1" s="1"/>
  <c r="C511" i="1"/>
  <c r="J510" i="1"/>
  <c r="I510" i="1"/>
  <c r="H510" i="1" s="1"/>
  <c r="C510" i="1"/>
  <c r="J509" i="1"/>
  <c r="I509" i="1"/>
  <c r="H509" i="1" s="1"/>
  <c r="C509" i="1"/>
  <c r="J508" i="1"/>
  <c r="I508" i="1"/>
  <c r="H508" i="1" s="1"/>
  <c r="C508" i="1"/>
  <c r="J507" i="1"/>
  <c r="I507" i="1"/>
  <c r="H507" i="1" s="1"/>
  <c r="C507" i="1"/>
  <c r="J506" i="1"/>
  <c r="I506" i="1"/>
  <c r="H506" i="1" s="1"/>
  <c r="C506" i="1"/>
  <c r="J505" i="1"/>
  <c r="I505" i="1"/>
  <c r="H505" i="1" s="1"/>
  <c r="C505" i="1"/>
  <c r="J504" i="1"/>
  <c r="I504" i="1"/>
  <c r="H504" i="1" s="1"/>
  <c r="C504" i="1"/>
  <c r="J503" i="1"/>
  <c r="I503" i="1"/>
  <c r="H503" i="1" s="1"/>
  <c r="C503" i="1"/>
  <c r="J502" i="1"/>
  <c r="I502" i="1"/>
  <c r="H502" i="1" s="1"/>
  <c r="C502" i="1"/>
  <c r="J501" i="1"/>
  <c r="I501" i="1"/>
  <c r="H501" i="1" s="1"/>
  <c r="C501" i="1"/>
  <c r="J500" i="1"/>
  <c r="I500" i="1"/>
  <c r="H500" i="1" s="1"/>
  <c r="C500" i="1"/>
  <c r="J499" i="1"/>
  <c r="I499" i="1"/>
  <c r="H499" i="1" s="1"/>
  <c r="C499" i="1"/>
  <c r="J498" i="1"/>
  <c r="I498" i="1"/>
  <c r="H498" i="1" s="1"/>
  <c r="C498" i="1"/>
  <c r="J497" i="1"/>
  <c r="I497" i="1"/>
  <c r="H497" i="1" s="1"/>
  <c r="C497" i="1"/>
  <c r="J496" i="1"/>
  <c r="I496" i="1"/>
  <c r="H496" i="1" s="1"/>
  <c r="C496" i="1"/>
  <c r="J495" i="1"/>
  <c r="I495" i="1"/>
  <c r="H495" i="1" s="1"/>
  <c r="C495" i="1"/>
  <c r="J494" i="1"/>
  <c r="I494" i="1"/>
  <c r="H494" i="1" s="1"/>
  <c r="C494" i="1"/>
  <c r="J493" i="1"/>
  <c r="I493" i="1"/>
  <c r="H493" i="1" s="1"/>
  <c r="C493" i="1"/>
  <c r="J492" i="1"/>
  <c r="I492" i="1"/>
  <c r="H492" i="1" s="1"/>
  <c r="C492" i="1"/>
  <c r="J491" i="1"/>
  <c r="I491" i="1"/>
  <c r="H491" i="1" s="1"/>
  <c r="C491" i="1"/>
  <c r="J490" i="1"/>
  <c r="I490" i="1"/>
  <c r="H490" i="1" s="1"/>
  <c r="C490" i="1"/>
  <c r="J489" i="1"/>
  <c r="I489" i="1"/>
  <c r="H489" i="1" s="1"/>
  <c r="C489" i="1"/>
  <c r="J488" i="1"/>
  <c r="I488" i="1"/>
  <c r="H488" i="1" s="1"/>
  <c r="C488" i="1"/>
  <c r="J487" i="1"/>
  <c r="I487" i="1"/>
  <c r="H487" i="1" s="1"/>
  <c r="C487" i="1"/>
  <c r="J486" i="1"/>
  <c r="I486" i="1"/>
  <c r="H486" i="1" s="1"/>
  <c r="C486" i="1"/>
  <c r="J485" i="1"/>
  <c r="I485" i="1"/>
  <c r="H485" i="1" s="1"/>
  <c r="C485" i="1"/>
  <c r="J484" i="1"/>
  <c r="I484" i="1"/>
  <c r="H484" i="1" s="1"/>
  <c r="C484" i="1"/>
  <c r="J483" i="1"/>
  <c r="I483" i="1"/>
  <c r="H483" i="1" s="1"/>
  <c r="C483" i="1"/>
  <c r="J482" i="1"/>
  <c r="I482" i="1"/>
  <c r="H482" i="1" s="1"/>
  <c r="C482" i="1"/>
  <c r="J481" i="1"/>
  <c r="I481" i="1"/>
  <c r="H481" i="1" s="1"/>
  <c r="C481" i="1"/>
  <c r="J480" i="1"/>
  <c r="I480" i="1"/>
  <c r="H480" i="1" s="1"/>
  <c r="C480" i="1"/>
  <c r="J479" i="1"/>
  <c r="I479" i="1"/>
  <c r="H479" i="1" s="1"/>
  <c r="C479" i="1"/>
  <c r="J478" i="1"/>
  <c r="I478" i="1"/>
  <c r="H478" i="1" s="1"/>
  <c r="C478" i="1"/>
  <c r="J477" i="1"/>
  <c r="I477" i="1"/>
  <c r="H477" i="1" s="1"/>
  <c r="C477" i="1"/>
  <c r="J476" i="1"/>
  <c r="I476" i="1"/>
  <c r="H476" i="1" s="1"/>
  <c r="C476" i="1"/>
  <c r="J475" i="1"/>
  <c r="I475" i="1"/>
  <c r="H475" i="1" s="1"/>
  <c r="C475" i="1"/>
  <c r="J474" i="1"/>
  <c r="I474" i="1"/>
  <c r="H474" i="1" s="1"/>
  <c r="C474" i="1"/>
  <c r="J473" i="1"/>
  <c r="I473" i="1"/>
  <c r="H473" i="1" s="1"/>
  <c r="C473" i="1"/>
  <c r="J472" i="1"/>
  <c r="I472" i="1"/>
  <c r="H472" i="1" s="1"/>
  <c r="C472" i="1"/>
  <c r="J471" i="1"/>
  <c r="I471" i="1"/>
  <c r="H471" i="1" s="1"/>
  <c r="C471" i="1"/>
  <c r="J470" i="1"/>
  <c r="I470" i="1"/>
  <c r="H470" i="1" s="1"/>
  <c r="C470" i="1"/>
  <c r="J469" i="1"/>
  <c r="I469" i="1"/>
  <c r="H469" i="1" s="1"/>
  <c r="C469" i="1"/>
  <c r="J468" i="1"/>
  <c r="I468" i="1"/>
  <c r="H468" i="1" s="1"/>
  <c r="C468" i="1"/>
  <c r="J467" i="1"/>
  <c r="I467" i="1"/>
  <c r="H467" i="1" s="1"/>
  <c r="C467" i="1"/>
  <c r="J466" i="1"/>
  <c r="I466" i="1"/>
  <c r="H466" i="1" s="1"/>
  <c r="C466" i="1"/>
  <c r="J465" i="1"/>
  <c r="I465" i="1"/>
  <c r="H465" i="1" s="1"/>
  <c r="C465" i="1"/>
  <c r="J464" i="1"/>
  <c r="I464" i="1"/>
  <c r="H464" i="1" s="1"/>
  <c r="C464" i="1"/>
  <c r="J463" i="1"/>
  <c r="I463" i="1"/>
  <c r="H463" i="1" s="1"/>
  <c r="C463" i="1"/>
  <c r="J462" i="1"/>
  <c r="I462" i="1"/>
  <c r="H462" i="1" s="1"/>
  <c r="C462" i="1"/>
  <c r="J461" i="1"/>
  <c r="I461" i="1"/>
  <c r="H461" i="1" s="1"/>
  <c r="C461" i="1"/>
  <c r="J460" i="1"/>
  <c r="I460" i="1"/>
  <c r="H460" i="1" s="1"/>
  <c r="C460" i="1"/>
  <c r="J459" i="1"/>
  <c r="I459" i="1"/>
  <c r="H459" i="1" s="1"/>
  <c r="C459" i="1"/>
  <c r="J458" i="1"/>
  <c r="I458" i="1"/>
  <c r="H458" i="1" s="1"/>
  <c r="C458" i="1"/>
  <c r="J457" i="1"/>
  <c r="I457" i="1"/>
  <c r="H457" i="1" s="1"/>
  <c r="C457" i="1"/>
  <c r="J456" i="1"/>
  <c r="I456" i="1"/>
  <c r="H456" i="1" s="1"/>
  <c r="C456" i="1"/>
  <c r="J455" i="1"/>
  <c r="I455" i="1"/>
  <c r="H455" i="1" s="1"/>
  <c r="C455" i="1"/>
  <c r="J454" i="1"/>
  <c r="I454" i="1"/>
  <c r="H454" i="1" s="1"/>
  <c r="C454" i="1"/>
  <c r="J453" i="1"/>
  <c r="I453" i="1"/>
  <c r="H453" i="1" s="1"/>
  <c r="C453" i="1"/>
  <c r="J452" i="1"/>
  <c r="I452" i="1"/>
  <c r="H452" i="1" s="1"/>
  <c r="C452" i="1"/>
  <c r="J451" i="1"/>
  <c r="I451" i="1"/>
  <c r="H451" i="1" s="1"/>
  <c r="C451" i="1"/>
  <c r="J450" i="1"/>
  <c r="I450" i="1"/>
  <c r="H450" i="1" s="1"/>
  <c r="C450" i="1"/>
  <c r="J449" i="1"/>
  <c r="I449" i="1"/>
  <c r="H449" i="1" s="1"/>
  <c r="C449" i="1"/>
  <c r="J448" i="1"/>
  <c r="I448" i="1"/>
  <c r="H448" i="1" s="1"/>
  <c r="C448" i="1"/>
  <c r="J447" i="1"/>
  <c r="I447" i="1"/>
  <c r="H447" i="1" s="1"/>
  <c r="C447" i="1"/>
  <c r="J446" i="1"/>
  <c r="I446" i="1"/>
  <c r="H446" i="1" s="1"/>
  <c r="C446" i="1"/>
  <c r="J445" i="1"/>
  <c r="I445" i="1"/>
  <c r="H445" i="1" s="1"/>
  <c r="C445" i="1"/>
  <c r="J444" i="1"/>
  <c r="I444" i="1"/>
  <c r="H444" i="1" s="1"/>
  <c r="C444" i="1"/>
  <c r="J443" i="1"/>
  <c r="I443" i="1"/>
  <c r="H443" i="1" s="1"/>
  <c r="C443" i="1"/>
  <c r="J442" i="1"/>
  <c r="I442" i="1"/>
  <c r="H442" i="1" s="1"/>
  <c r="C442" i="1"/>
  <c r="J441" i="1"/>
  <c r="I441" i="1"/>
  <c r="H441" i="1" s="1"/>
  <c r="C441" i="1"/>
  <c r="J440" i="1"/>
  <c r="I440" i="1"/>
  <c r="H440" i="1" s="1"/>
  <c r="C440" i="1"/>
  <c r="J439" i="1"/>
  <c r="I439" i="1"/>
  <c r="H439" i="1" s="1"/>
  <c r="C439" i="1"/>
  <c r="J438" i="1"/>
  <c r="I438" i="1"/>
  <c r="H438" i="1" s="1"/>
  <c r="C438" i="1"/>
  <c r="J437" i="1"/>
  <c r="I437" i="1"/>
  <c r="H437" i="1" s="1"/>
  <c r="C437" i="1"/>
  <c r="J436" i="1"/>
  <c r="I436" i="1"/>
  <c r="H436" i="1" s="1"/>
  <c r="C436" i="1"/>
  <c r="J435" i="1"/>
  <c r="I435" i="1"/>
  <c r="H435" i="1" s="1"/>
  <c r="C435" i="1"/>
  <c r="J434" i="1"/>
  <c r="I434" i="1"/>
  <c r="H434" i="1" s="1"/>
  <c r="C434" i="1"/>
  <c r="J433" i="1"/>
  <c r="I433" i="1"/>
  <c r="H433" i="1" s="1"/>
  <c r="C433" i="1"/>
  <c r="J432" i="1"/>
  <c r="I432" i="1"/>
  <c r="H432" i="1" s="1"/>
  <c r="C432" i="1"/>
  <c r="J431" i="1"/>
  <c r="I431" i="1"/>
  <c r="H431" i="1" s="1"/>
  <c r="C431" i="1"/>
  <c r="J430" i="1"/>
  <c r="I430" i="1"/>
  <c r="H430" i="1" s="1"/>
  <c r="C430" i="1"/>
  <c r="J429" i="1"/>
  <c r="I429" i="1"/>
  <c r="H429" i="1" s="1"/>
  <c r="C429" i="1"/>
  <c r="J428" i="1"/>
  <c r="I428" i="1"/>
  <c r="H428" i="1" s="1"/>
  <c r="C428" i="1"/>
  <c r="J427" i="1"/>
  <c r="I427" i="1"/>
  <c r="H427" i="1" s="1"/>
  <c r="C427" i="1"/>
  <c r="J426" i="1"/>
  <c r="I426" i="1"/>
  <c r="H426" i="1" s="1"/>
  <c r="C426" i="1"/>
  <c r="J425" i="1"/>
  <c r="I425" i="1"/>
  <c r="H425" i="1" s="1"/>
  <c r="C425" i="1"/>
  <c r="J424" i="1"/>
  <c r="I424" i="1"/>
  <c r="H424" i="1" s="1"/>
  <c r="C424" i="1"/>
  <c r="J423" i="1"/>
  <c r="I423" i="1"/>
  <c r="H423" i="1" s="1"/>
  <c r="C423" i="1"/>
  <c r="J422" i="1"/>
  <c r="I422" i="1"/>
  <c r="H422" i="1" s="1"/>
  <c r="C422" i="1"/>
  <c r="J421" i="1"/>
  <c r="I421" i="1"/>
  <c r="H421" i="1" s="1"/>
  <c r="C421" i="1"/>
  <c r="J420" i="1"/>
  <c r="I420" i="1"/>
  <c r="H420" i="1" s="1"/>
  <c r="C420" i="1"/>
  <c r="J419" i="1"/>
  <c r="I419" i="1"/>
  <c r="H419" i="1" s="1"/>
  <c r="C419" i="1"/>
  <c r="J418" i="1"/>
  <c r="I418" i="1"/>
  <c r="H418" i="1" s="1"/>
  <c r="C418" i="1"/>
  <c r="J417" i="1"/>
  <c r="I417" i="1"/>
  <c r="H417" i="1" s="1"/>
  <c r="C417" i="1"/>
  <c r="J416" i="1"/>
  <c r="I416" i="1"/>
  <c r="H416" i="1" s="1"/>
  <c r="C416" i="1"/>
  <c r="J415" i="1"/>
  <c r="I415" i="1"/>
  <c r="H415" i="1" s="1"/>
  <c r="C415" i="1"/>
  <c r="J414" i="1"/>
  <c r="I414" i="1"/>
  <c r="H414" i="1" s="1"/>
  <c r="C414" i="1"/>
  <c r="J413" i="1"/>
  <c r="I413" i="1"/>
  <c r="H413" i="1" s="1"/>
  <c r="C413" i="1"/>
  <c r="J412" i="1"/>
  <c r="I412" i="1"/>
  <c r="H412" i="1" s="1"/>
  <c r="C412" i="1"/>
  <c r="J411" i="1"/>
  <c r="I411" i="1"/>
  <c r="H411" i="1" s="1"/>
  <c r="C411" i="1"/>
  <c r="J410" i="1"/>
  <c r="I410" i="1"/>
  <c r="H410" i="1" s="1"/>
  <c r="C410" i="1"/>
  <c r="J409" i="1"/>
  <c r="I409" i="1"/>
  <c r="H409" i="1" s="1"/>
  <c r="C409" i="1"/>
  <c r="J408" i="1"/>
  <c r="I408" i="1"/>
  <c r="H408" i="1" s="1"/>
  <c r="C408" i="1"/>
  <c r="J407" i="1"/>
  <c r="I407" i="1"/>
  <c r="H407" i="1" s="1"/>
  <c r="C407" i="1"/>
  <c r="J406" i="1"/>
  <c r="I406" i="1"/>
  <c r="H406" i="1" s="1"/>
  <c r="C406" i="1"/>
  <c r="J405" i="1"/>
  <c r="I405" i="1"/>
  <c r="H405" i="1" s="1"/>
  <c r="C405" i="1"/>
  <c r="J404" i="1"/>
  <c r="I404" i="1"/>
  <c r="H404" i="1" s="1"/>
  <c r="C404" i="1"/>
  <c r="J403" i="1"/>
  <c r="I403" i="1"/>
  <c r="H403" i="1" s="1"/>
  <c r="C403" i="1"/>
  <c r="J402" i="1"/>
  <c r="I402" i="1"/>
  <c r="H402" i="1" s="1"/>
  <c r="C402" i="1"/>
  <c r="J401" i="1"/>
  <c r="I401" i="1"/>
  <c r="H401" i="1" s="1"/>
  <c r="C401" i="1"/>
  <c r="J400" i="1"/>
  <c r="I400" i="1"/>
  <c r="H400" i="1" s="1"/>
  <c r="C400" i="1"/>
  <c r="J399" i="1"/>
  <c r="I399" i="1"/>
  <c r="H399" i="1" s="1"/>
  <c r="C399" i="1"/>
  <c r="J398" i="1"/>
  <c r="I398" i="1"/>
  <c r="H398" i="1" s="1"/>
  <c r="C398" i="1"/>
  <c r="J397" i="1"/>
  <c r="I397" i="1"/>
  <c r="H397" i="1" s="1"/>
  <c r="C397" i="1"/>
  <c r="J396" i="1"/>
  <c r="I396" i="1"/>
  <c r="H396" i="1" s="1"/>
  <c r="C396" i="1"/>
  <c r="J395" i="1"/>
  <c r="I395" i="1"/>
  <c r="H395" i="1" s="1"/>
  <c r="C395" i="1"/>
  <c r="J394" i="1"/>
  <c r="I394" i="1"/>
  <c r="H394" i="1" s="1"/>
  <c r="C394" i="1"/>
  <c r="J393" i="1"/>
  <c r="I393" i="1"/>
  <c r="H393" i="1" s="1"/>
  <c r="C393" i="1"/>
  <c r="J392" i="1"/>
  <c r="I392" i="1"/>
  <c r="H392" i="1" s="1"/>
  <c r="C392" i="1"/>
  <c r="J391" i="1"/>
  <c r="I391" i="1"/>
  <c r="H391" i="1" s="1"/>
  <c r="C391" i="1"/>
  <c r="J390" i="1"/>
  <c r="I390" i="1"/>
  <c r="H390" i="1" s="1"/>
  <c r="C390" i="1"/>
  <c r="J389" i="1"/>
  <c r="I389" i="1"/>
  <c r="H389" i="1" s="1"/>
  <c r="C389" i="1"/>
  <c r="J388" i="1"/>
  <c r="I388" i="1"/>
  <c r="H388" i="1" s="1"/>
  <c r="C388" i="1"/>
  <c r="J387" i="1"/>
  <c r="I387" i="1"/>
  <c r="H387" i="1" s="1"/>
  <c r="C387" i="1"/>
  <c r="J386" i="1"/>
  <c r="I386" i="1"/>
  <c r="H386" i="1" s="1"/>
  <c r="C386" i="1"/>
  <c r="J385" i="1"/>
  <c r="I385" i="1"/>
  <c r="H385" i="1" s="1"/>
  <c r="C385" i="1"/>
  <c r="J384" i="1"/>
  <c r="I384" i="1"/>
  <c r="H384" i="1" s="1"/>
  <c r="C384" i="1"/>
  <c r="J383" i="1"/>
  <c r="I383" i="1"/>
  <c r="H383" i="1" s="1"/>
  <c r="C383" i="1"/>
  <c r="J382" i="1"/>
  <c r="I382" i="1"/>
  <c r="H382" i="1" s="1"/>
  <c r="C382" i="1"/>
  <c r="J381" i="1"/>
  <c r="I381" i="1"/>
  <c r="H381" i="1" s="1"/>
  <c r="C381" i="1"/>
  <c r="J380" i="1"/>
  <c r="I380" i="1"/>
  <c r="H380" i="1" s="1"/>
  <c r="C380" i="1"/>
  <c r="J379" i="1"/>
  <c r="I379" i="1"/>
  <c r="H379" i="1" s="1"/>
  <c r="C379" i="1"/>
  <c r="J378" i="1"/>
  <c r="I378" i="1"/>
  <c r="H378" i="1" s="1"/>
  <c r="C378" i="1"/>
  <c r="J377" i="1"/>
  <c r="I377" i="1"/>
  <c r="H377" i="1" s="1"/>
  <c r="C377" i="1"/>
  <c r="J376" i="1"/>
  <c r="I376" i="1"/>
  <c r="H376" i="1" s="1"/>
  <c r="C376" i="1"/>
  <c r="J375" i="1"/>
  <c r="I375" i="1"/>
  <c r="H375" i="1" s="1"/>
  <c r="C375" i="1"/>
  <c r="J374" i="1"/>
  <c r="I374" i="1"/>
  <c r="H374" i="1" s="1"/>
  <c r="C374" i="1"/>
  <c r="J373" i="1"/>
  <c r="I373" i="1"/>
  <c r="H373" i="1" s="1"/>
  <c r="C373" i="1"/>
  <c r="J372" i="1"/>
  <c r="I372" i="1"/>
  <c r="H372" i="1" s="1"/>
  <c r="C372" i="1"/>
  <c r="J371" i="1"/>
  <c r="I371" i="1"/>
  <c r="H371" i="1" s="1"/>
  <c r="C371" i="1"/>
  <c r="J370" i="1"/>
  <c r="I370" i="1"/>
  <c r="H370" i="1" s="1"/>
  <c r="C370" i="1"/>
  <c r="J369" i="1"/>
  <c r="I369" i="1"/>
  <c r="H369" i="1" s="1"/>
  <c r="C369" i="1"/>
  <c r="J368" i="1"/>
  <c r="I368" i="1"/>
  <c r="H368" i="1" s="1"/>
  <c r="C368" i="1"/>
  <c r="J367" i="1"/>
  <c r="I367" i="1"/>
  <c r="H367" i="1" s="1"/>
  <c r="C367" i="1"/>
  <c r="J366" i="1"/>
  <c r="I366" i="1"/>
  <c r="H366" i="1" s="1"/>
  <c r="C366" i="1"/>
  <c r="J365" i="1"/>
  <c r="I365" i="1"/>
  <c r="H365" i="1" s="1"/>
  <c r="C365" i="1"/>
  <c r="J364" i="1"/>
  <c r="I364" i="1"/>
  <c r="H364" i="1" s="1"/>
  <c r="C364" i="1"/>
  <c r="J363" i="1"/>
  <c r="I363" i="1"/>
  <c r="H363" i="1" s="1"/>
  <c r="C363" i="1"/>
  <c r="J362" i="1"/>
  <c r="I362" i="1"/>
  <c r="H362" i="1" s="1"/>
  <c r="C362" i="1"/>
  <c r="J361" i="1"/>
  <c r="I361" i="1"/>
  <c r="H361" i="1" s="1"/>
  <c r="C361" i="1"/>
  <c r="J360" i="1"/>
  <c r="I360" i="1"/>
  <c r="H360" i="1" s="1"/>
  <c r="C360" i="1"/>
  <c r="J359" i="1"/>
  <c r="I359" i="1"/>
  <c r="H359" i="1" s="1"/>
  <c r="C359" i="1"/>
  <c r="J358" i="1"/>
  <c r="I358" i="1"/>
  <c r="H358" i="1" s="1"/>
  <c r="C358" i="1"/>
  <c r="J357" i="1"/>
  <c r="I357" i="1"/>
  <c r="H357" i="1" s="1"/>
  <c r="C357" i="1"/>
  <c r="J356" i="1"/>
  <c r="I356" i="1"/>
  <c r="H356" i="1" s="1"/>
  <c r="C356" i="1"/>
  <c r="J355" i="1"/>
  <c r="I355" i="1"/>
  <c r="H355" i="1" s="1"/>
  <c r="C355" i="1"/>
  <c r="J354" i="1"/>
  <c r="I354" i="1"/>
  <c r="H354" i="1" s="1"/>
  <c r="C354" i="1"/>
  <c r="J353" i="1"/>
  <c r="I353" i="1"/>
  <c r="H353" i="1" s="1"/>
  <c r="C353" i="1"/>
  <c r="J352" i="1"/>
  <c r="I352" i="1"/>
  <c r="H352" i="1" s="1"/>
  <c r="C352" i="1"/>
  <c r="J351" i="1"/>
  <c r="I351" i="1"/>
  <c r="H351" i="1" s="1"/>
  <c r="C351" i="1"/>
  <c r="J350" i="1"/>
  <c r="I350" i="1"/>
  <c r="H350" i="1" s="1"/>
  <c r="C350" i="1"/>
  <c r="J349" i="1"/>
  <c r="I349" i="1"/>
  <c r="H349" i="1" s="1"/>
  <c r="C349" i="1"/>
  <c r="J348" i="1"/>
  <c r="I348" i="1"/>
  <c r="H348" i="1" s="1"/>
  <c r="C348" i="1"/>
  <c r="J347" i="1"/>
  <c r="I347" i="1"/>
  <c r="H347" i="1" s="1"/>
  <c r="C347" i="1"/>
  <c r="J346" i="1"/>
  <c r="I346" i="1"/>
  <c r="H346" i="1" s="1"/>
  <c r="C346" i="1"/>
  <c r="J345" i="1"/>
  <c r="I345" i="1"/>
  <c r="H345" i="1" s="1"/>
  <c r="C345" i="1"/>
  <c r="J344" i="1"/>
  <c r="I344" i="1"/>
  <c r="H344" i="1" s="1"/>
  <c r="C344" i="1"/>
  <c r="J343" i="1"/>
  <c r="I343" i="1"/>
  <c r="H343" i="1" s="1"/>
  <c r="C343" i="1"/>
  <c r="J342" i="1"/>
  <c r="I342" i="1"/>
  <c r="H342" i="1" s="1"/>
  <c r="C342" i="1"/>
  <c r="J341" i="1"/>
  <c r="I341" i="1"/>
  <c r="H341" i="1" s="1"/>
  <c r="C341" i="1"/>
  <c r="J340" i="1"/>
  <c r="I340" i="1"/>
  <c r="H340" i="1" s="1"/>
  <c r="C340" i="1"/>
  <c r="J339" i="1"/>
  <c r="I339" i="1"/>
  <c r="H339" i="1" s="1"/>
  <c r="C339" i="1"/>
  <c r="J338" i="1"/>
  <c r="I338" i="1"/>
  <c r="H338" i="1" s="1"/>
  <c r="C338" i="1"/>
  <c r="J337" i="1"/>
  <c r="I337" i="1"/>
  <c r="H337" i="1" s="1"/>
  <c r="C337" i="1"/>
  <c r="J336" i="1"/>
  <c r="I336" i="1"/>
  <c r="H336" i="1" s="1"/>
  <c r="C336" i="1"/>
  <c r="J335" i="1"/>
  <c r="I335" i="1"/>
  <c r="H335" i="1" s="1"/>
  <c r="C335" i="1"/>
  <c r="J334" i="1"/>
  <c r="I334" i="1"/>
  <c r="H334" i="1" s="1"/>
  <c r="C334" i="1"/>
  <c r="J333" i="1"/>
  <c r="I333" i="1"/>
  <c r="H333" i="1" s="1"/>
  <c r="C333" i="1"/>
  <c r="J332" i="1"/>
  <c r="I332" i="1"/>
  <c r="H332" i="1" s="1"/>
  <c r="C332" i="1"/>
  <c r="J331" i="1"/>
  <c r="I331" i="1"/>
  <c r="H331" i="1" s="1"/>
  <c r="C331" i="1"/>
  <c r="J330" i="1"/>
  <c r="I330" i="1"/>
  <c r="H330" i="1" s="1"/>
  <c r="C330" i="1"/>
  <c r="J329" i="1"/>
  <c r="I329" i="1"/>
  <c r="H329" i="1" s="1"/>
  <c r="C329" i="1"/>
  <c r="J328" i="1"/>
  <c r="I328" i="1"/>
  <c r="H328" i="1" s="1"/>
  <c r="C328" i="1"/>
  <c r="J327" i="1"/>
  <c r="I327" i="1"/>
  <c r="H327" i="1" s="1"/>
  <c r="C327" i="1"/>
  <c r="J326" i="1"/>
  <c r="I326" i="1"/>
  <c r="H326" i="1" s="1"/>
  <c r="C326" i="1"/>
  <c r="J325" i="1"/>
  <c r="I325" i="1"/>
  <c r="H325" i="1" s="1"/>
  <c r="C325" i="1"/>
  <c r="J324" i="1"/>
  <c r="I324" i="1"/>
  <c r="H324" i="1" s="1"/>
  <c r="C324" i="1"/>
  <c r="J323" i="1"/>
  <c r="I323" i="1"/>
  <c r="H323" i="1" s="1"/>
  <c r="C323" i="1"/>
  <c r="J322" i="1"/>
  <c r="I322" i="1"/>
  <c r="H322" i="1" s="1"/>
  <c r="C322" i="1"/>
  <c r="J321" i="1"/>
  <c r="I321" i="1"/>
  <c r="H321" i="1" s="1"/>
  <c r="C321" i="1"/>
  <c r="J320" i="1"/>
  <c r="I320" i="1"/>
  <c r="H320" i="1" s="1"/>
  <c r="C320" i="1"/>
  <c r="J319" i="1"/>
  <c r="I319" i="1"/>
  <c r="H319" i="1" s="1"/>
  <c r="C319" i="1"/>
  <c r="J318" i="1"/>
  <c r="I318" i="1"/>
  <c r="H318" i="1" s="1"/>
  <c r="C318" i="1"/>
  <c r="J317" i="1"/>
  <c r="I317" i="1"/>
  <c r="H317" i="1" s="1"/>
  <c r="C317" i="1"/>
  <c r="J316" i="1"/>
  <c r="I316" i="1"/>
  <c r="H316" i="1" s="1"/>
  <c r="C316" i="1"/>
  <c r="J315" i="1"/>
  <c r="I315" i="1"/>
  <c r="H315" i="1" s="1"/>
  <c r="C315" i="1"/>
  <c r="J314" i="1"/>
  <c r="I314" i="1"/>
  <c r="H314" i="1" s="1"/>
  <c r="C314" i="1"/>
  <c r="J313" i="1"/>
  <c r="I313" i="1"/>
  <c r="H313" i="1" s="1"/>
  <c r="C313" i="1"/>
  <c r="J312" i="1"/>
  <c r="I312" i="1"/>
  <c r="H312" i="1" s="1"/>
  <c r="C312" i="1"/>
  <c r="J311" i="1"/>
  <c r="I311" i="1"/>
  <c r="H311" i="1" s="1"/>
  <c r="C311" i="1"/>
  <c r="J310" i="1"/>
  <c r="I310" i="1"/>
  <c r="H310" i="1" s="1"/>
  <c r="C310" i="1"/>
  <c r="J309" i="1"/>
  <c r="I309" i="1"/>
  <c r="H309" i="1" s="1"/>
  <c r="C309" i="1"/>
  <c r="J308" i="1"/>
  <c r="I308" i="1"/>
  <c r="H308" i="1" s="1"/>
  <c r="C308" i="1"/>
  <c r="J307" i="1"/>
  <c r="I307" i="1"/>
  <c r="H307" i="1" s="1"/>
  <c r="C307" i="1"/>
  <c r="J306" i="1"/>
  <c r="I306" i="1"/>
  <c r="H306" i="1" s="1"/>
  <c r="C306" i="1"/>
  <c r="J305" i="1"/>
  <c r="I305" i="1"/>
  <c r="H305" i="1" s="1"/>
  <c r="C305" i="1"/>
  <c r="J304" i="1"/>
  <c r="I304" i="1"/>
  <c r="H304" i="1" s="1"/>
  <c r="C304" i="1"/>
  <c r="J303" i="1"/>
  <c r="I303" i="1"/>
  <c r="H303" i="1" s="1"/>
  <c r="C303" i="1"/>
  <c r="J302" i="1"/>
  <c r="I302" i="1"/>
  <c r="H302" i="1" s="1"/>
  <c r="C302" i="1"/>
  <c r="J301" i="1"/>
  <c r="I301" i="1"/>
  <c r="H301" i="1" s="1"/>
  <c r="C301" i="1"/>
  <c r="J300" i="1"/>
  <c r="I300" i="1"/>
  <c r="H300" i="1" s="1"/>
  <c r="C300" i="1"/>
  <c r="J299" i="1"/>
  <c r="I299" i="1"/>
  <c r="H299" i="1" s="1"/>
  <c r="C299" i="1"/>
  <c r="J298" i="1"/>
  <c r="I298" i="1"/>
  <c r="H298" i="1" s="1"/>
  <c r="C298" i="1"/>
  <c r="J297" i="1"/>
  <c r="I297" i="1"/>
  <c r="H297" i="1" s="1"/>
  <c r="C297" i="1"/>
  <c r="J296" i="1"/>
  <c r="I296" i="1"/>
  <c r="H296" i="1" s="1"/>
  <c r="C296" i="1"/>
  <c r="J295" i="1"/>
  <c r="I295" i="1"/>
  <c r="H295" i="1" s="1"/>
  <c r="C295" i="1"/>
  <c r="J294" i="1"/>
  <c r="I294" i="1"/>
  <c r="H294" i="1" s="1"/>
  <c r="C294" i="1"/>
  <c r="J293" i="1"/>
  <c r="I293" i="1"/>
  <c r="H293" i="1" s="1"/>
  <c r="C293" i="1"/>
  <c r="J292" i="1"/>
  <c r="I292" i="1"/>
  <c r="H292" i="1" s="1"/>
  <c r="C292" i="1"/>
  <c r="J291" i="1"/>
  <c r="I291" i="1"/>
  <c r="H291" i="1" s="1"/>
  <c r="C291" i="1"/>
  <c r="J290" i="1"/>
  <c r="I290" i="1"/>
  <c r="H290" i="1" s="1"/>
  <c r="C290" i="1"/>
  <c r="J289" i="1"/>
  <c r="I289" i="1"/>
  <c r="H289" i="1" s="1"/>
  <c r="C289" i="1"/>
  <c r="J288" i="1"/>
  <c r="I288" i="1"/>
  <c r="H288" i="1" s="1"/>
  <c r="C288" i="1"/>
  <c r="J287" i="1"/>
  <c r="I287" i="1"/>
  <c r="H287" i="1" s="1"/>
  <c r="C287" i="1"/>
  <c r="J286" i="1"/>
  <c r="I286" i="1"/>
  <c r="H286" i="1" s="1"/>
  <c r="C286" i="1"/>
  <c r="J285" i="1"/>
  <c r="I285" i="1"/>
  <c r="H285" i="1" s="1"/>
  <c r="C285" i="1"/>
  <c r="J284" i="1"/>
  <c r="I284" i="1"/>
  <c r="H284" i="1" s="1"/>
  <c r="C284" i="1"/>
  <c r="J283" i="1"/>
  <c r="I283" i="1"/>
  <c r="H283" i="1" s="1"/>
  <c r="C283" i="1"/>
  <c r="J282" i="1"/>
  <c r="I282" i="1"/>
  <c r="H282" i="1" s="1"/>
  <c r="C282" i="1"/>
  <c r="J281" i="1"/>
  <c r="I281" i="1"/>
  <c r="H281" i="1" s="1"/>
  <c r="C281" i="1"/>
  <c r="J280" i="1"/>
  <c r="I280" i="1"/>
  <c r="H280" i="1" s="1"/>
  <c r="C280" i="1"/>
  <c r="J279" i="1"/>
  <c r="I279" i="1"/>
  <c r="H279" i="1" s="1"/>
  <c r="C279" i="1"/>
  <c r="J278" i="1"/>
  <c r="I278" i="1"/>
  <c r="H278" i="1" s="1"/>
  <c r="C278" i="1"/>
  <c r="J277" i="1"/>
  <c r="I277" i="1"/>
  <c r="H277" i="1" s="1"/>
  <c r="C277" i="1"/>
  <c r="J276" i="1"/>
  <c r="I276" i="1"/>
  <c r="H276" i="1" s="1"/>
  <c r="C276" i="1"/>
  <c r="J275" i="1"/>
  <c r="I275" i="1"/>
  <c r="H275" i="1" s="1"/>
  <c r="C275" i="1"/>
  <c r="J274" i="1"/>
  <c r="I274" i="1"/>
  <c r="H274" i="1" s="1"/>
  <c r="C274" i="1"/>
  <c r="J273" i="1"/>
  <c r="I273" i="1"/>
  <c r="H273" i="1" s="1"/>
  <c r="C273" i="1"/>
  <c r="J272" i="1"/>
  <c r="I272" i="1"/>
  <c r="H272" i="1" s="1"/>
  <c r="C272" i="1"/>
  <c r="J271" i="1"/>
  <c r="I271" i="1"/>
  <c r="H271" i="1" s="1"/>
  <c r="C271" i="1"/>
  <c r="J270" i="1"/>
  <c r="I270" i="1"/>
  <c r="H270" i="1" s="1"/>
  <c r="C270" i="1"/>
  <c r="J269" i="1"/>
  <c r="I269" i="1"/>
  <c r="H269" i="1" s="1"/>
  <c r="C269" i="1"/>
  <c r="J268" i="1"/>
  <c r="I268" i="1"/>
  <c r="H268" i="1" s="1"/>
  <c r="C268" i="1"/>
  <c r="J267" i="1"/>
  <c r="I267" i="1"/>
  <c r="H267" i="1" s="1"/>
  <c r="C267" i="1"/>
  <c r="J266" i="1"/>
  <c r="I266" i="1"/>
  <c r="H266" i="1" s="1"/>
  <c r="C266" i="1"/>
  <c r="J265" i="1"/>
  <c r="I265" i="1"/>
  <c r="H265" i="1" s="1"/>
  <c r="C265" i="1"/>
  <c r="J264" i="1"/>
  <c r="I264" i="1"/>
  <c r="H264" i="1" s="1"/>
  <c r="C264" i="1"/>
  <c r="J263" i="1"/>
  <c r="I263" i="1"/>
  <c r="H263" i="1" s="1"/>
  <c r="C263" i="1"/>
  <c r="J262" i="1"/>
  <c r="I262" i="1"/>
  <c r="H262" i="1" s="1"/>
  <c r="C262" i="1"/>
  <c r="J261" i="1"/>
  <c r="I261" i="1"/>
  <c r="H261" i="1" s="1"/>
  <c r="C261" i="1"/>
  <c r="J260" i="1"/>
  <c r="I260" i="1"/>
  <c r="H260" i="1" s="1"/>
  <c r="C260" i="1"/>
  <c r="J259" i="1"/>
  <c r="I259" i="1"/>
  <c r="H259" i="1" s="1"/>
  <c r="C259" i="1"/>
  <c r="J258" i="1"/>
  <c r="I258" i="1"/>
  <c r="H258" i="1" s="1"/>
  <c r="C258" i="1"/>
  <c r="J257" i="1"/>
  <c r="I257" i="1"/>
  <c r="H257" i="1" s="1"/>
  <c r="C257" i="1"/>
  <c r="J256" i="1"/>
  <c r="I256" i="1"/>
  <c r="H256" i="1" s="1"/>
  <c r="C256" i="1"/>
  <c r="J255" i="1"/>
  <c r="I255" i="1"/>
  <c r="H255" i="1" s="1"/>
  <c r="C255" i="1"/>
  <c r="J254" i="1"/>
  <c r="I254" i="1"/>
  <c r="H254" i="1" s="1"/>
  <c r="C254" i="1"/>
  <c r="J253" i="1"/>
  <c r="I253" i="1"/>
  <c r="H253" i="1" s="1"/>
  <c r="C253" i="1"/>
  <c r="J252" i="1"/>
  <c r="I252" i="1"/>
  <c r="H252" i="1" s="1"/>
  <c r="C252" i="1"/>
  <c r="J251" i="1"/>
  <c r="I251" i="1"/>
  <c r="H251" i="1" s="1"/>
  <c r="C251" i="1"/>
  <c r="J250" i="1"/>
  <c r="I250" i="1"/>
  <c r="H250" i="1" s="1"/>
  <c r="C250" i="1"/>
  <c r="J249" i="1"/>
  <c r="I249" i="1"/>
  <c r="H249" i="1" s="1"/>
  <c r="C249" i="1"/>
  <c r="J248" i="1"/>
  <c r="I248" i="1"/>
  <c r="H248" i="1" s="1"/>
  <c r="C248" i="1"/>
  <c r="J247" i="1"/>
  <c r="I247" i="1"/>
  <c r="H247" i="1" s="1"/>
  <c r="C247" i="1"/>
  <c r="J246" i="1"/>
  <c r="I246" i="1"/>
  <c r="H246" i="1" s="1"/>
  <c r="C246" i="1"/>
  <c r="J245" i="1"/>
  <c r="I245" i="1"/>
  <c r="H245" i="1" s="1"/>
  <c r="C245" i="1"/>
  <c r="J244" i="1"/>
  <c r="I244" i="1"/>
  <c r="H244" i="1" s="1"/>
  <c r="C244" i="1"/>
  <c r="J243" i="1"/>
  <c r="I243" i="1"/>
  <c r="H243" i="1" s="1"/>
  <c r="C243" i="1"/>
  <c r="J242" i="1"/>
  <c r="I242" i="1"/>
  <c r="H242" i="1" s="1"/>
  <c r="C242" i="1"/>
  <c r="J241" i="1"/>
  <c r="I241" i="1"/>
  <c r="H241" i="1" s="1"/>
  <c r="C241" i="1"/>
  <c r="J240" i="1"/>
  <c r="I240" i="1"/>
  <c r="H240" i="1" s="1"/>
  <c r="C240" i="1"/>
  <c r="J239" i="1"/>
  <c r="I239" i="1"/>
  <c r="H239" i="1" s="1"/>
  <c r="C239" i="1"/>
  <c r="J238" i="1"/>
  <c r="I238" i="1"/>
  <c r="H238" i="1" s="1"/>
  <c r="C238" i="1"/>
  <c r="J237" i="1"/>
  <c r="I237" i="1"/>
  <c r="H237" i="1" s="1"/>
  <c r="C237" i="1"/>
  <c r="J236" i="1"/>
  <c r="I236" i="1"/>
  <c r="H236" i="1" s="1"/>
  <c r="C236" i="1"/>
  <c r="J235" i="1"/>
  <c r="I235" i="1"/>
  <c r="H235" i="1" s="1"/>
  <c r="C235" i="1"/>
  <c r="J234" i="1"/>
  <c r="I234" i="1"/>
  <c r="H234" i="1" s="1"/>
  <c r="C234" i="1"/>
  <c r="J233" i="1"/>
  <c r="I233" i="1"/>
  <c r="H233" i="1" s="1"/>
  <c r="C233" i="1"/>
  <c r="J232" i="1"/>
  <c r="I232" i="1"/>
  <c r="H232" i="1" s="1"/>
  <c r="C232" i="1"/>
  <c r="J231" i="1"/>
  <c r="I231" i="1"/>
  <c r="H231" i="1" s="1"/>
  <c r="C231" i="1"/>
  <c r="J230" i="1"/>
  <c r="I230" i="1"/>
  <c r="H230" i="1" s="1"/>
  <c r="C230" i="1"/>
  <c r="J229" i="1"/>
  <c r="I229" i="1"/>
  <c r="H229" i="1" s="1"/>
  <c r="C229" i="1"/>
  <c r="J228" i="1"/>
  <c r="I228" i="1"/>
  <c r="H228" i="1" s="1"/>
  <c r="C228" i="1"/>
  <c r="J227" i="1"/>
  <c r="I227" i="1"/>
  <c r="H227" i="1" s="1"/>
  <c r="C227" i="1"/>
  <c r="J226" i="1"/>
  <c r="I226" i="1"/>
  <c r="H226" i="1" s="1"/>
  <c r="C226" i="1"/>
  <c r="J225" i="1"/>
  <c r="I225" i="1"/>
  <c r="H225" i="1" s="1"/>
  <c r="C225" i="1"/>
  <c r="J224" i="1"/>
  <c r="I224" i="1"/>
  <c r="H224" i="1" s="1"/>
  <c r="C224" i="1"/>
  <c r="J223" i="1"/>
  <c r="I223" i="1"/>
  <c r="H223" i="1" s="1"/>
  <c r="C223" i="1"/>
  <c r="J222" i="1"/>
  <c r="I222" i="1"/>
  <c r="H222" i="1" s="1"/>
  <c r="C222" i="1"/>
  <c r="J221" i="1"/>
  <c r="I221" i="1"/>
  <c r="H221" i="1" s="1"/>
  <c r="C221" i="1"/>
  <c r="J220" i="1"/>
  <c r="I220" i="1"/>
  <c r="H220" i="1" s="1"/>
  <c r="C220" i="1"/>
  <c r="J219" i="1"/>
  <c r="I219" i="1"/>
  <c r="H219" i="1" s="1"/>
  <c r="C219" i="1"/>
  <c r="J218" i="1"/>
  <c r="I218" i="1"/>
  <c r="H218" i="1" s="1"/>
  <c r="C218" i="1"/>
  <c r="J217" i="1"/>
  <c r="I217" i="1"/>
  <c r="H217" i="1" s="1"/>
  <c r="C217" i="1"/>
  <c r="J216" i="1"/>
  <c r="I216" i="1"/>
  <c r="H216" i="1" s="1"/>
  <c r="C216" i="1"/>
  <c r="J215" i="1"/>
  <c r="I215" i="1"/>
  <c r="H215" i="1" s="1"/>
  <c r="C215" i="1"/>
  <c r="J214" i="1"/>
  <c r="I214" i="1"/>
  <c r="H214" i="1" s="1"/>
  <c r="C214" i="1"/>
  <c r="J213" i="1"/>
  <c r="I213" i="1"/>
  <c r="H213" i="1" s="1"/>
  <c r="C213" i="1"/>
  <c r="J212" i="1"/>
  <c r="I212" i="1"/>
  <c r="H212" i="1" s="1"/>
  <c r="C212" i="1"/>
  <c r="J211" i="1"/>
  <c r="I211" i="1"/>
  <c r="H211" i="1" s="1"/>
  <c r="C211" i="1"/>
  <c r="J210" i="1"/>
  <c r="I210" i="1"/>
  <c r="H210" i="1" s="1"/>
  <c r="C210" i="1"/>
  <c r="J209" i="1"/>
  <c r="I209" i="1"/>
  <c r="H209" i="1" s="1"/>
  <c r="C209" i="1"/>
  <c r="J208" i="1"/>
  <c r="I208" i="1"/>
  <c r="H208" i="1" s="1"/>
  <c r="C208" i="1"/>
  <c r="J207" i="1"/>
  <c r="I207" i="1"/>
  <c r="H207" i="1" s="1"/>
  <c r="C207" i="1"/>
  <c r="J206" i="1"/>
  <c r="I206" i="1"/>
  <c r="H206" i="1" s="1"/>
  <c r="C206" i="1"/>
  <c r="J205" i="1"/>
  <c r="I205" i="1"/>
  <c r="H205" i="1" s="1"/>
  <c r="C205" i="1"/>
  <c r="J204" i="1"/>
  <c r="I204" i="1"/>
  <c r="H204" i="1" s="1"/>
  <c r="C204" i="1"/>
  <c r="J203" i="1"/>
  <c r="I203" i="1"/>
  <c r="H203" i="1" s="1"/>
  <c r="C203" i="1"/>
  <c r="J202" i="1"/>
  <c r="I202" i="1"/>
  <c r="H202" i="1" s="1"/>
  <c r="C202" i="1"/>
  <c r="J201" i="1"/>
  <c r="I201" i="1"/>
  <c r="H201" i="1" s="1"/>
  <c r="C201" i="1"/>
  <c r="J200" i="1"/>
  <c r="I200" i="1"/>
  <c r="H200" i="1" s="1"/>
  <c r="C200" i="1"/>
  <c r="J199" i="1"/>
  <c r="I199" i="1"/>
  <c r="H199" i="1" s="1"/>
  <c r="C199" i="1"/>
  <c r="J198" i="1"/>
  <c r="I198" i="1"/>
  <c r="H198" i="1" s="1"/>
  <c r="C198" i="1"/>
  <c r="J197" i="1"/>
  <c r="I197" i="1"/>
  <c r="H197" i="1" s="1"/>
  <c r="C197" i="1"/>
  <c r="J196" i="1"/>
  <c r="I196" i="1"/>
  <c r="H196" i="1" s="1"/>
  <c r="C196" i="1"/>
  <c r="J195" i="1"/>
  <c r="I195" i="1"/>
  <c r="H195" i="1" s="1"/>
  <c r="C195" i="1"/>
  <c r="J194" i="1"/>
  <c r="I194" i="1"/>
  <c r="H194" i="1" s="1"/>
  <c r="C194" i="1"/>
  <c r="J193" i="1"/>
  <c r="I193" i="1"/>
  <c r="H193" i="1" s="1"/>
  <c r="C193" i="1"/>
  <c r="J192" i="1"/>
  <c r="I192" i="1"/>
  <c r="H192" i="1" s="1"/>
  <c r="C192" i="1"/>
  <c r="J191" i="1"/>
  <c r="I191" i="1"/>
  <c r="H191" i="1" s="1"/>
  <c r="C191" i="1"/>
  <c r="J190" i="1"/>
  <c r="I190" i="1"/>
  <c r="H190" i="1" s="1"/>
  <c r="C190" i="1"/>
  <c r="J189" i="1"/>
  <c r="I189" i="1"/>
  <c r="H189" i="1" s="1"/>
  <c r="C189" i="1"/>
  <c r="J188" i="1"/>
  <c r="I188" i="1"/>
  <c r="H188" i="1" s="1"/>
  <c r="C188" i="1"/>
  <c r="J187" i="1"/>
  <c r="I187" i="1"/>
  <c r="H187" i="1" s="1"/>
  <c r="C187" i="1"/>
  <c r="J186" i="1"/>
  <c r="I186" i="1"/>
  <c r="H186" i="1" s="1"/>
  <c r="C186" i="1"/>
  <c r="J185" i="1"/>
  <c r="I185" i="1"/>
  <c r="H185" i="1" s="1"/>
  <c r="C185" i="1"/>
  <c r="J184" i="1"/>
  <c r="I184" i="1"/>
  <c r="H184" i="1" s="1"/>
  <c r="C184" i="1"/>
  <c r="J183" i="1"/>
  <c r="I183" i="1"/>
  <c r="H183" i="1" s="1"/>
  <c r="C183" i="1"/>
  <c r="J182" i="1"/>
  <c r="I182" i="1"/>
  <c r="H182" i="1" s="1"/>
  <c r="C182" i="1"/>
  <c r="J181" i="1"/>
  <c r="I181" i="1"/>
  <c r="H181" i="1" s="1"/>
  <c r="C181" i="1"/>
  <c r="J180" i="1"/>
  <c r="I180" i="1"/>
  <c r="H180" i="1" s="1"/>
  <c r="C180" i="1"/>
  <c r="J179" i="1"/>
  <c r="I179" i="1"/>
  <c r="H179" i="1" s="1"/>
  <c r="C179" i="1"/>
  <c r="J178" i="1"/>
  <c r="I178" i="1"/>
  <c r="H178" i="1" s="1"/>
  <c r="C178" i="1"/>
  <c r="J177" i="1"/>
  <c r="I177" i="1"/>
  <c r="H177" i="1" s="1"/>
  <c r="C177" i="1"/>
  <c r="J176" i="1"/>
  <c r="I176" i="1"/>
  <c r="H176" i="1" s="1"/>
  <c r="C176" i="1"/>
  <c r="J175" i="1"/>
  <c r="I175" i="1"/>
  <c r="H175" i="1" s="1"/>
  <c r="C175" i="1"/>
  <c r="J174" i="1"/>
  <c r="I174" i="1"/>
  <c r="H174" i="1" s="1"/>
  <c r="C174" i="1"/>
  <c r="J173" i="1"/>
  <c r="I173" i="1"/>
  <c r="H173" i="1" s="1"/>
  <c r="C173" i="1"/>
  <c r="J172" i="1"/>
  <c r="I172" i="1"/>
  <c r="H172" i="1" s="1"/>
  <c r="C172" i="1"/>
  <c r="J171" i="1"/>
  <c r="I171" i="1"/>
  <c r="H171" i="1" s="1"/>
  <c r="C171" i="1"/>
  <c r="J170" i="1"/>
  <c r="I170" i="1"/>
  <c r="H170" i="1" s="1"/>
  <c r="C170" i="1"/>
  <c r="J169" i="1"/>
  <c r="I169" i="1"/>
  <c r="H169" i="1" s="1"/>
  <c r="C169" i="1"/>
  <c r="J168" i="1"/>
  <c r="I168" i="1"/>
  <c r="H168" i="1" s="1"/>
  <c r="C168" i="1"/>
  <c r="J167" i="1"/>
  <c r="I167" i="1"/>
  <c r="H167" i="1" s="1"/>
  <c r="C167" i="1"/>
  <c r="J166" i="1"/>
  <c r="I166" i="1"/>
  <c r="H166" i="1" s="1"/>
  <c r="C166" i="1"/>
  <c r="J165" i="1"/>
  <c r="I165" i="1"/>
  <c r="H165" i="1" s="1"/>
  <c r="C165" i="1"/>
  <c r="J164" i="1"/>
  <c r="I164" i="1"/>
  <c r="H164" i="1" s="1"/>
  <c r="C164" i="1"/>
  <c r="J163" i="1"/>
  <c r="I163" i="1"/>
  <c r="H163" i="1" s="1"/>
  <c r="C163" i="1"/>
  <c r="J162" i="1"/>
  <c r="I162" i="1"/>
  <c r="H162" i="1" s="1"/>
  <c r="C162" i="1"/>
  <c r="J161" i="1"/>
  <c r="I161" i="1"/>
  <c r="H161" i="1" s="1"/>
  <c r="C161" i="1"/>
  <c r="J160" i="1"/>
  <c r="I160" i="1"/>
  <c r="H160" i="1" s="1"/>
  <c r="C160" i="1"/>
  <c r="J159" i="1"/>
  <c r="I159" i="1"/>
  <c r="H159" i="1" s="1"/>
  <c r="C159" i="1"/>
  <c r="J158" i="1"/>
  <c r="I158" i="1"/>
  <c r="H158" i="1" s="1"/>
  <c r="C158" i="1"/>
  <c r="J157" i="1"/>
  <c r="I157" i="1"/>
  <c r="H157" i="1" s="1"/>
  <c r="C157" i="1"/>
  <c r="J156" i="1"/>
  <c r="I156" i="1"/>
  <c r="H156" i="1" s="1"/>
  <c r="C156" i="1"/>
  <c r="J155" i="1"/>
  <c r="I155" i="1"/>
  <c r="H155" i="1" s="1"/>
  <c r="C155" i="1"/>
  <c r="J154" i="1"/>
  <c r="I154" i="1"/>
  <c r="H154" i="1" s="1"/>
  <c r="C154" i="1"/>
  <c r="J153" i="1"/>
  <c r="I153" i="1"/>
  <c r="H153" i="1" s="1"/>
  <c r="C153" i="1"/>
  <c r="J152" i="1"/>
  <c r="I152" i="1"/>
  <c r="H152" i="1" s="1"/>
  <c r="C152" i="1"/>
  <c r="J151" i="1"/>
  <c r="I151" i="1"/>
  <c r="H151" i="1" s="1"/>
  <c r="C151" i="1"/>
  <c r="J150" i="1"/>
  <c r="I150" i="1"/>
  <c r="H150" i="1" s="1"/>
  <c r="C150" i="1"/>
  <c r="J149" i="1"/>
  <c r="I149" i="1"/>
  <c r="H149" i="1" s="1"/>
  <c r="C149" i="1"/>
  <c r="J148" i="1"/>
  <c r="I148" i="1"/>
  <c r="H148" i="1" s="1"/>
  <c r="C148" i="1"/>
  <c r="J147" i="1"/>
  <c r="I147" i="1"/>
  <c r="H147" i="1" s="1"/>
  <c r="C147" i="1"/>
  <c r="J146" i="1"/>
  <c r="I146" i="1"/>
  <c r="H146" i="1" s="1"/>
  <c r="C146" i="1"/>
  <c r="J145" i="1"/>
  <c r="I145" i="1"/>
  <c r="H145" i="1" s="1"/>
  <c r="C145" i="1"/>
  <c r="J144" i="1"/>
  <c r="I144" i="1"/>
  <c r="H144" i="1" s="1"/>
  <c r="C144" i="1"/>
  <c r="J143" i="1"/>
  <c r="I143" i="1"/>
  <c r="H143" i="1" s="1"/>
  <c r="C143" i="1"/>
  <c r="J142" i="1"/>
  <c r="I142" i="1"/>
  <c r="H142" i="1" s="1"/>
  <c r="C142" i="1"/>
  <c r="J141" i="1"/>
  <c r="I141" i="1"/>
  <c r="H141" i="1" s="1"/>
  <c r="C141" i="1"/>
  <c r="J140" i="1"/>
  <c r="I140" i="1"/>
  <c r="H140" i="1" s="1"/>
  <c r="C140" i="1"/>
  <c r="J139" i="1"/>
  <c r="I139" i="1"/>
  <c r="H139" i="1" s="1"/>
  <c r="C139" i="1"/>
  <c r="J138" i="1"/>
  <c r="I138" i="1"/>
  <c r="H138" i="1" s="1"/>
  <c r="C138" i="1"/>
  <c r="J137" i="1"/>
  <c r="I137" i="1"/>
  <c r="H137" i="1" s="1"/>
  <c r="C137" i="1"/>
  <c r="J136" i="1"/>
  <c r="I136" i="1"/>
  <c r="H136" i="1" s="1"/>
  <c r="C136" i="1"/>
  <c r="J135" i="1"/>
  <c r="I135" i="1"/>
  <c r="H135" i="1" s="1"/>
  <c r="C135" i="1"/>
  <c r="J134" i="1"/>
  <c r="I134" i="1"/>
  <c r="H134" i="1" s="1"/>
  <c r="C134" i="1"/>
  <c r="J133" i="1"/>
  <c r="I133" i="1"/>
  <c r="H133" i="1" s="1"/>
  <c r="C133" i="1"/>
  <c r="J132" i="1"/>
  <c r="I132" i="1"/>
  <c r="H132" i="1" s="1"/>
  <c r="C132" i="1"/>
  <c r="J131" i="1"/>
  <c r="I131" i="1"/>
  <c r="H131" i="1" s="1"/>
  <c r="C131" i="1"/>
  <c r="J130" i="1"/>
  <c r="I130" i="1"/>
  <c r="H130" i="1" s="1"/>
  <c r="C130" i="1"/>
  <c r="J129" i="1"/>
  <c r="I129" i="1"/>
  <c r="H129" i="1" s="1"/>
  <c r="C129" i="1"/>
  <c r="J128" i="1"/>
  <c r="I128" i="1"/>
  <c r="H128" i="1" s="1"/>
  <c r="C128" i="1"/>
  <c r="J127" i="1"/>
  <c r="I127" i="1"/>
  <c r="H127" i="1" s="1"/>
  <c r="C127" i="1"/>
  <c r="J126" i="1"/>
  <c r="I126" i="1"/>
  <c r="H126" i="1" s="1"/>
  <c r="C126" i="1"/>
  <c r="J125" i="1"/>
  <c r="I125" i="1"/>
  <c r="H125" i="1" s="1"/>
  <c r="C125" i="1"/>
  <c r="J124" i="1"/>
  <c r="I124" i="1"/>
  <c r="H124" i="1" s="1"/>
  <c r="C124" i="1"/>
  <c r="J123" i="1"/>
  <c r="I123" i="1"/>
  <c r="H123" i="1" s="1"/>
  <c r="C123" i="1"/>
  <c r="J122" i="1"/>
  <c r="I122" i="1"/>
  <c r="H122" i="1" s="1"/>
  <c r="C122" i="1"/>
  <c r="J121" i="1"/>
  <c r="I121" i="1"/>
  <c r="H121" i="1" s="1"/>
  <c r="C121" i="1"/>
  <c r="J120" i="1"/>
  <c r="I120" i="1"/>
  <c r="H120" i="1" s="1"/>
  <c r="C120" i="1"/>
  <c r="J119" i="1"/>
  <c r="I119" i="1"/>
  <c r="H119" i="1" s="1"/>
  <c r="C119" i="1"/>
  <c r="J118" i="1"/>
  <c r="I118" i="1"/>
  <c r="H118" i="1" s="1"/>
  <c r="C118" i="1"/>
  <c r="J117" i="1"/>
  <c r="I117" i="1"/>
  <c r="H117" i="1" s="1"/>
  <c r="C117" i="1"/>
  <c r="J116" i="1"/>
  <c r="I116" i="1"/>
  <c r="H116" i="1" s="1"/>
  <c r="C116" i="1"/>
  <c r="J115" i="1"/>
  <c r="I115" i="1"/>
  <c r="H115" i="1" s="1"/>
  <c r="C115" i="1"/>
  <c r="J114" i="1"/>
  <c r="I114" i="1"/>
  <c r="H114" i="1" s="1"/>
  <c r="C114" i="1"/>
  <c r="J113" i="1"/>
  <c r="I113" i="1"/>
  <c r="H113" i="1" s="1"/>
  <c r="C113" i="1"/>
  <c r="J112" i="1"/>
  <c r="I112" i="1"/>
  <c r="H112" i="1" s="1"/>
  <c r="C112" i="1"/>
  <c r="J111" i="1"/>
  <c r="I111" i="1"/>
  <c r="H111" i="1" s="1"/>
  <c r="C111" i="1"/>
  <c r="J110" i="1"/>
  <c r="I110" i="1"/>
  <c r="H110" i="1" s="1"/>
  <c r="C110" i="1"/>
  <c r="J109" i="1"/>
  <c r="I109" i="1"/>
  <c r="H109" i="1" s="1"/>
  <c r="C109" i="1"/>
  <c r="J108" i="1"/>
  <c r="I108" i="1"/>
  <c r="H108" i="1" s="1"/>
  <c r="C108" i="1"/>
  <c r="J107" i="1"/>
  <c r="I107" i="1"/>
  <c r="H107" i="1" s="1"/>
  <c r="C107" i="1"/>
  <c r="J106" i="1"/>
  <c r="I106" i="1"/>
  <c r="H106" i="1" s="1"/>
  <c r="C106" i="1"/>
  <c r="J105" i="1"/>
  <c r="I105" i="1"/>
  <c r="H105" i="1" s="1"/>
  <c r="C105" i="1"/>
  <c r="J104" i="1"/>
  <c r="I104" i="1"/>
  <c r="H104" i="1" s="1"/>
  <c r="C104" i="1"/>
  <c r="J103" i="1"/>
  <c r="I103" i="1"/>
  <c r="H103" i="1" s="1"/>
  <c r="C103" i="1"/>
  <c r="J102" i="1"/>
  <c r="I102" i="1"/>
  <c r="H102" i="1" s="1"/>
  <c r="C102" i="1"/>
  <c r="J101" i="1"/>
  <c r="I101" i="1"/>
  <c r="H101" i="1" s="1"/>
  <c r="C101" i="1"/>
  <c r="J100" i="1"/>
  <c r="I100" i="1"/>
  <c r="H100" i="1" s="1"/>
  <c r="C100" i="1"/>
  <c r="J99" i="1"/>
  <c r="I99" i="1"/>
  <c r="H99" i="1" s="1"/>
  <c r="C99" i="1"/>
  <c r="J98" i="1"/>
  <c r="I98" i="1"/>
  <c r="H98" i="1" s="1"/>
  <c r="C98" i="1"/>
  <c r="J97" i="1"/>
  <c r="I97" i="1"/>
  <c r="H97" i="1" s="1"/>
  <c r="C97" i="1"/>
  <c r="J96" i="1"/>
  <c r="I96" i="1"/>
  <c r="H96" i="1" s="1"/>
  <c r="C96" i="1"/>
  <c r="J95" i="1"/>
  <c r="I95" i="1"/>
  <c r="H95" i="1" s="1"/>
  <c r="C95" i="1"/>
  <c r="J94" i="1"/>
  <c r="I94" i="1"/>
  <c r="H94" i="1" s="1"/>
  <c r="C94" i="1"/>
  <c r="J93" i="1"/>
  <c r="I93" i="1"/>
  <c r="H93" i="1" s="1"/>
  <c r="C93" i="1"/>
  <c r="J92" i="1"/>
  <c r="I92" i="1"/>
  <c r="H92" i="1" s="1"/>
  <c r="C92" i="1"/>
  <c r="J91" i="1"/>
  <c r="I91" i="1"/>
  <c r="H91" i="1" s="1"/>
  <c r="C91" i="1"/>
  <c r="J90" i="1"/>
  <c r="I90" i="1"/>
  <c r="H90" i="1" s="1"/>
  <c r="C90" i="1"/>
  <c r="J89" i="1"/>
  <c r="I89" i="1"/>
  <c r="H89" i="1" s="1"/>
  <c r="C89" i="1"/>
  <c r="J88" i="1"/>
  <c r="I88" i="1"/>
  <c r="H88" i="1" s="1"/>
  <c r="C88" i="1"/>
  <c r="J87" i="1"/>
  <c r="I87" i="1"/>
  <c r="H87" i="1" s="1"/>
  <c r="C87" i="1"/>
  <c r="J86" i="1"/>
  <c r="I86" i="1"/>
  <c r="H86" i="1" s="1"/>
  <c r="C86" i="1"/>
  <c r="J85" i="1"/>
  <c r="I85" i="1"/>
  <c r="H85" i="1" s="1"/>
  <c r="C85" i="1"/>
  <c r="J84" i="1"/>
  <c r="I84" i="1"/>
  <c r="H84" i="1" s="1"/>
  <c r="C84" i="1"/>
  <c r="J83" i="1"/>
  <c r="I83" i="1"/>
  <c r="H83" i="1" s="1"/>
  <c r="C83" i="1"/>
  <c r="J82" i="1"/>
  <c r="I82" i="1"/>
  <c r="H82" i="1" s="1"/>
  <c r="C82" i="1"/>
  <c r="J81" i="1"/>
  <c r="I81" i="1"/>
  <c r="H81" i="1" s="1"/>
  <c r="C81" i="1"/>
  <c r="J80" i="1"/>
  <c r="I80" i="1"/>
  <c r="H80" i="1" s="1"/>
  <c r="C80" i="1"/>
  <c r="J79" i="1"/>
  <c r="I79" i="1"/>
  <c r="H79" i="1" s="1"/>
  <c r="C79" i="1"/>
  <c r="J78" i="1"/>
  <c r="I78" i="1"/>
  <c r="H78" i="1" s="1"/>
  <c r="C78" i="1"/>
  <c r="J77" i="1"/>
  <c r="I77" i="1"/>
  <c r="H77" i="1" s="1"/>
  <c r="C77" i="1"/>
  <c r="J76" i="1"/>
  <c r="I76" i="1"/>
  <c r="H76" i="1" s="1"/>
  <c r="C76" i="1"/>
  <c r="J75" i="1"/>
  <c r="I75" i="1"/>
  <c r="H75" i="1" s="1"/>
  <c r="C75" i="1"/>
  <c r="J74" i="1"/>
  <c r="I74" i="1"/>
  <c r="H74" i="1" s="1"/>
  <c r="C74" i="1"/>
  <c r="J73" i="1"/>
  <c r="I73" i="1"/>
  <c r="H73" i="1" s="1"/>
  <c r="C73" i="1"/>
  <c r="J72" i="1"/>
  <c r="I72" i="1"/>
  <c r="H72" i="1" s="1"/>
  <c r="C72" i="1"/>
  <c r="J71" i="1"/>
  <c r="I71" i="1"/>
  <c r="H71" i="1" s="1"/>
  <c r="C71" i="1"/>
  <c r="J70" i="1"/>
  <c r="I70" i="1"/>
  <c r="H70" i="1" s="1"/>
  <c r="C70" i="1"/>
  <c r="J69" i="1"/>
  <c r="I69" i="1"/>
  <c r="H69" i="1" s="1"/>
  <c r="C69" i="1"/>
  <c r="J68" i="1"/>
  <c r="I68" i="1"/>
  <c r="H68" i="1" s="1"/>
  <c r="C68" i="1"/>
  <c r="J67" i="1"/>
  <c r="I67" i="1"/>
  <c r="H67" i="1" s="1"/>
  <c r="C67" i="1"/>
  <c r="J66" i="1"/>
  <c r="I66" i="1"/>
  <c r="H66" i="1" s="1"/>
  <c r="C66" i="1"/>
  <c r="J65" i="1"/>
  <c r="I65" i="1"/>
  <c r="H65" i="1" s="1"/>
  <c r="C65" i="1"/>
  <c r="J64" i="1"/>
  <c r="I64" i="1"/>
  <c r="H64" i="1" s="1"/>
  <c r="C64" i="1"/>
  <c r="J63" i="1"/>
  <c r="I63" i="1"/>
  <c r="H63" i="1" s="1"/>
  <c r="C63" i="1"/>
  <c r="J62" i="1"/>
  <c r="I62" i="1"/>
  <c r="H62" i="1" s="1"/>
  <c r="C62" i="1"/>
  <c r="J61" i="1"/>
  <c r="I61" i="1"/>
  <c r="H61" i="1" s="1"/>
  <c r="C61" i="1"/>
  <c r="J60" i="1"/>
  <c r="I60" i="1"/>
  <c r="H60" i="1" s="1"/>
  <c r="C60" i="1"/>
  <c r="J59" i="1"/>
  <c r="I59" i="1"/>
  <c r="H59" i="1" s="1"/>
  <c r="C59" i="1"/>
  <c r="J58" i="1"/>
  <c r="I58" i="1"/>
  <c r="H58" i="1" s="1"/>
  <c r="C58" i="1"/>
  <c r="J57" i="1"/>
  <c r="I57" i="1"/>
  <c r="H57" i="1" s="1"/>
  <c r="C57" i="1"/>
  <c r="J56" i="1"/>
  <c r="I56" i="1"/>
  <c r="H56" i="1" s="1"/>
  <c r="C56" i="1"/>
  <c r="J55" i="1"/>
  <c r="I55" i="1"/>
  <c r="H55" i="1" s="1"/>
  <c r="C55" i="1"/>
  <c r="J54" i="1"/>
  <c r="I54" i="1"/>
  <c r="H54" i="1" s="1"/>
  <c r="C54" i="1"/>
  <c r="J53" i="1"/>
  <c r="I53" i="1"/>
  <c r="H53" i="1" s="1"/>
  <c r="C53" i="1"/>
  <c r="J52" i="1"/>
  <c r="I52" i="1"/>
  <c r="H52" i="1" s="1"/>
  <c r="C52" i="1"/>
  <c r="J51" i="1"/>
  <c r="I51" i="1"/>
  <c r="H51" i="1" s="1"/>
  <c r="C51" i="1"/>
  <c r="J50" i="1"/>
  <c r="I50" i="1"/>
  <c r="H50" i="1" s="1"/>
  <c r="C50" i="1"/>
  <c r="J49" i="1"/>
  <c r="I49" i="1"/>
  <c r="H49" i="1" s="1"/>
  <c r="C49" i="1"/>
  <c r="J48" i="1"/>
  <c r="I48" i="1"/>
  <c r="H48" i="1" s="1"/>
  <c r="C48" i="1"/>
  <c r="J47" i="1"/>
  <c r="I47" i="1"/>
  <c r="H47" i="1" s="1"/>
  <c r="C47" i="1"/>
  <c r="J46" i="1"/>
  <c r="I46" i="1"/>
  <c r="H46" i="1" s="1"/>
  <c r="C46" i="1"/>
  <c r="J45" i="1"/>
  <c r="I45" i="1"/>
  <c r="H45" i="1" s="1"/>
  <c r="C45" i="1"/>
  <c r="J44" i="1"/>
  <c r="I44" i="1"/>
  <c r="H44" i="1" s="1"/>
  <c r="C44" i="1"/>
  <c r="J43" i="1"/>
  <c r="I43" i="1"/>
  <c r="H43" i="1" s="1"/>
  <c r="C43" i="1"/>
  <c r="J42" i="1"/>
  <c r="I42" i="1"/>
  <c r="H42" i="1" s="1"/>
  <c r="C42" i="1"/>
  <c r="J41" i="1"/>
  <c r="I41" i="1"/>
  <c r="H41" i="1" s="1"/>
  <c r="C41" i="1"/>
  <c r="J40" i="1"/>
  <c r="I40" i="1"/>
  <c r="H40" i="1" s="1"/>
  <c r="C40" i="1"/>
  <c r="J39" i="1"/>
  <c r="I39" i="1"/>
  <c r="H39" i="1" s="1"/>
  <c r="C39" i="1"/>
  <c r="J38" i="1"/>
  <c r="I38" i="1"/>
  <c r="H38" i="1" s="1"/>
  <c r="C38" i="1"/>
  <c r="J37" i="1"/>
  <c r="I37" i="1"/>
  <c r="H37" i="1" s="1"/>
  <c r="C37" i="1"/>
  <c r="J36" i="1"/>
  <c r="I36" i="1"/>
  <c r="H36" i="1" s="1"/>
  <c r="C36" i="1"/>
  <c r="J35" i="1"/>
  <c r="I35" i="1"/>
  <c r="H35" i="1" s="1"/>
  <c r="C35" i="1"/>
  <c r="J34" i="1"/>
  <c r="I34" i="1"/>
  <c r="H34" i="1" s="1"/>
  <c r="C34" i="1"/>
  <c r="J33" i="1"/>
  <c r="I33" i="1"/>
  <c r="H33" i="1" s="1"/>
  <c r="C33" i="1"/>
  <c r="J32" i="1"/>
  <c r="I32" i="1"/>
  <c r="H32" i="1" s="1"/>
  <c r="C32" i="1"/>
  <c r="J31" i="1"/>
  <c r="I31" i="1"/>
  <c r="H31" i="1" s="1"/>
  <c r="C31" i="1"/>
  <c r="J30" i="1"/>
  <c r="I30" i="1"/>
  <c r="H30" i="1" s="1"/>
  <c r="C30" i="1"/>
  <c r="J29" i="1"/>
  <c r="I29" i="1"/>
  <c r="H29" i="1" s="1"/>
  <c r="C29" i="1"/>
  <c r="J28" i="1"/>
  <c r="I28" i="1"/>
  <c r="H28" i="1" s="1"/>
  <c r="C28" i="1"/>
  <c r="J27" i="1"/>
  <c r="I27" i="1"/>
  <c r="H27" i="1" s="1"/>
  <c r="C27" i="1"/>
  <c r="J26" i="1"/>
  <c r="I26" i="1"/>
  <c r="H26" i="1" s="1"/>
  <c r="C26" i="1"/>
  <c r="J25" i="1"/>
  <c r="I25" i="1"/>
  <c r="H25" i="1" s="1"/>
  <c r="C25" i="1"/>
  <c r="J24" i="1"/>
  <c r="I24" i="1"/>
  <c r="H24" i="1" s="1"/>
  <c r="C24" i="1"/>
  <c r="J23" i="1"/>
  <c r="I23" i="1"/>
  <c r="H23" i="1" s="1"/>
  <c r="C23" i="1"/>
  <c r="J22" i="1"/>
  <c r="I22" i="1"/>
  <c r="H22" i="1" s="1"/>
  <c r="C22" i="1"/>
  <c r="J21" i="1"/>
  <c r="I21" i="1"/>
  <c r="H21" i="1" s="1"/>
  <c r="C21" i="1"/>
  <c r="J20" i="1"/>
  <c r="I20" i="1"/>
  <c r="H20" i="1" s="1"/>
  <c r="C20" i="1"/>
  <c r="J19" i="1"/>
  <c r="I19" i="1"/>
  <c r="H19" i="1" s="1"/>
  <c r="C19" i="1"/>
  <c r="J18" i="1"/>
  <c r="I18" i="1"/>
  <c r="H18" i="1" s="1"/>
  <c r="C18" i="1"/>
  <c r="J17" i="1"/>
  <c r="I17" i="1"/>
  <c r="H17" i="1" s="1"/>
  <c r="C17" i="1"/>
  <c r="J16" i="1"/>
  <c r="I16" i="1"/>
  <c r="H16" i="1" s="1"/>
  <c r="C16" i="1"/>
  <c r="J15" i="1"/>
  <c r="I15" i="1"/>
  <c r="H15" i="1" s="1"/>
  <c r="C15" i="1"/>
  <c r="J14" i="1"/>
  <c r="I14" i="1"/>
  <c r="H14" i="1" s="1"/>
  <c r="C14" i="1"/>
  <c r="J13" i="1"/>
  <c r="I13" i="1"/>
  <c r="H13" i="1" s="1"/>
  <c r="C13" i="1"/>
  <c r="J12" i="1"/>
  <c r="I12" i="1"/>
  <c r="H12" i="1" s="1"/>
  <c r="C12" i="1"/>
  <c r="J11" i="1"/>
  <c r="I11" i="1"/>
  <c r="H11" i="1" s="1"/>
  <c r="C11" i="1"/>
  <c r="J10" i="1"/>
  <c r="I10" i="1"/>
  <c r="H10" i="1" s="1"/>
  <c r="C10" i="1"/>
  <c r="J9" i="1"/>
  <c r="I9" i="1"/>
  <c r="H9" i="1" s="1"/>
  <c r="C9" i="1"/>
  <c r="J8" i="1"/>
  <c r="I8" i="1"/>
  <c r="H8" i="1" s="1"/>
  <c r="C8" i="1"/>
  <c r="J7" i="1"/>
  <c r="C7" i="1"/>
  <c r="J6" i="1"/>
  <c r="I6" i="1"/>
  <c r="H6" i="1" s="1"/>
  <c r="C6" i="1"/>
  <c r="J5" i="1"/>
  <c r="I5" i="1"/>
  <c r="H5" i="1" s="1"/>
  <c r="C5" i="1"/>
  <c r="J4" i="1"/>
  <c r="I4" i="1"/>
  <c r="H4" i="1" s="1"/>
  <c r="C4" i="1"/>
  <c r="I3" i="1"/>
  <c r="H3" i="1" s="1"/>
  <c r="C3" i="1"/>
  <c r="L2" i="1"/>
  <c r="J2" i="1"/>
  <c r="I2" i="1"/>
  <c r="H2" i="1" s="1"/>
  <c r="C2" i="1"/>
  <c r="B2" i="7"/>
  <c r="K686" i="1"/>
  <c r="K670" i="1"/>
  <c r="K654" i="1"/>
  <c r="K638" i="1"/>
  <c r="K622" i="1"/>
  <c r="K606" i="1"/>
  <c r="K590" i="1"/>
  <c r="K574" i="1"/>
  <c r="K558" i="1"/>
  <c r="K542" i="1"/>
  <c r="K526" i="1"/>
  <c r="K510" i="1"/>
  <c r="A4" i="7"/>
  <c r="K693" i="1"/>
  <c r="K677" i="1"/>
  <c r="K661" i="1"/>
  <c r="K645" i="1"/>
  <c r="K629" i="1"/>
  <c r="K613" i="1"/>
  <c r="K700" i="1"/>
  <c r="K684" i="1"/>
  <c r="K668" i="1"/>
  <c r="K652" i="1"/>
  <c r="K636" i="1"/>
  <c r="K620" i="1"/>
  <c r="K604" i="1"/>
  <c r="K588" i="1"/>
  <c r="K572" i="1"/>
  <c r="K556" i="1"/>
  <c r="K540" i="1"/>
  <c r="K524" i="1"/>
  <c r="K508" i="1"/>
  <c r="A1" i="7"/>
  <c r="K687" i="1"/>
  <c r="K671" i="1"/>
  <c r="K655" i="1"/>
  <c r="K639" i="1"/>
  <c r="K623" i="1"/>
  <c r="K607" i="1"/>
  <c r="K591" i="1"/>
  <c r="K575" i="1"/>
  <c r="K559" i="1"/>
  <c r="K543" i="1"/>
  <c r="K527" i="1"/>
  <c r="K597" i="1"/>
  <c r="K533" i="1"/>
  <c r="K491" i="1"/>
  <c r="K475" i="1"/>
  <c r="K459" i="1"/>
  <c r="K443" i="1"/>
  <c r="K427" i="1"/>
  <c r="K411" i="1"/>
  <c r="K395" i="1"/>
  <c r="K379" i="1"/>
  <c r="K363" i="1"/>
  <c r="K347" i="1"/>
  <c r="K331" i="1"/>
  <c r="K315" i="1"/>
  <c r="K585" i="1"/>
  <c r="K521" i="1"/>
  <c r="K486" i="1"/>
  <c r="K470" i="1"/>
  <c r="K454" i="1"/>
  <c r="K438" i="1"/>
  <c r="K422" i="1"/>
  <c r="K589" i="1"/>
  <c r="K525" i="1"/>
  <c r="K485" i="1"/>
  <c r="K469" i="1"/>
  <c r="K453" i="1"/>
  <c r="K437" i="1"/>
  <c r="K421" i="1"/>
  <c r="K405" i="1"/>
  <c r="K389" i="1"/>
  <c r="K373" i="1"/>
  <c r="K357" i="1"/>
  <c r="K341" i="1"/>
  <c r="K325" i="1"/>
  <c r="K309" i="1"/>
  <c r="K561" i="1"/>
  <c r="K511" i="1"/>
  <c r="K503" i="1"/>
  <c r="K492" i="1"/>
  <c r="K476" i="1"/>
  <c r="K460" i="1"/>
  <c r="K444" i="1"/>
  <c r="K304" i="1"/>
  <c r="K288" i="1"/>
  <c r="K299" i="1"/>
  <c r="K283" i="1"/>
  <c r="K267" i="1"/>
  <c r="K251" i="1"/>
  <c r="K235" i="1"/>
  <c r="K219" i="1"/>
  <c r="K410" i="1"/>
  <c r="K402" i="1"/>
  <c r="K394" i="1"/>
  <c r="K386" i="1"/>
  <c r="K378" i="1"/>
  <c r="K370" i="1"/>
  <c r="K362" i="1"/>
  <c r="K354" i="1"/>
  <c r="K346" i="1"/>
  <c r="K338" i="1"/>
  <c r="K330" i="1"/>
  <c r="K322" i="1"/>
  <c r="K314" i="1"/>
  <c r="K306" i="1"/>
  <c r="K416" i="1"/>
  <c r="K293" i="1"/>
  <c r="K277" i="1"/>
  <c r="K261" i="1"/>
  <c r="K245" i="1"/>
  <c r="K229" i="1"/>
  <c r="K213" i="1"/>
  <c r="K197" i="1"/>
  <c r="K181" i="1"/>
  <c r="K165" i="1"/>
  <c r="K149" i="1"/>
  <c r="K133" i="1"/>
  <c r="K117" i="1"/>
  <c r="K208" i="1"/>
  <c r="K192" i="1"/>
  <c r="K176" i="1"/>
  <c r="K160" i="1"/>
  <c r="K144" i="1"/>
  <c r="K698" i="1"/>
  <c r="K682" i="1"/>
  <c r="K666" i="1"/>
  <c r="K650" i="1"/>
  <c r="K634" i="1"/>
  <c r="K618" i="1"/>
  <c r="K602" i="1"/>
  <c r="K586" i="1"/>
  <c r="K570" i="1"/>
  <c r="K554" i="1"/>
  <c r="K538" i="1"/>
  <c r="K522" i="1"/>
  <c r="K506" i="1"/>
  <c r="A2" i="7"/>
  <c r="K689" i="1"/>
  <c r="K673" i="1"/>
  <c r="K657" i="1"/>
  <c r="K641" i="1"/>
  <c r="K625" i="1"/>
  <c r="B5" i="7"/>
  <c r="K696" i="1"/>
  <c r="K680" i="1"/>
  <c r="K664" i="1"/>
  <c r="K648" i="1"/>
  <c r="K632" i="1"/>
  <c r="K616" i="1"/>
  <c r="K600" i="1"/>
  <c r="K584" i="1"/>
  <c r="K568" i="1"/>
  <c r="K552" i="1"/>
  <c r="K536" i="1"/>
  <c r="K520" i="1"/>
  <c r="K504" i="1"/>
  <c r="K699" i="1"/>
  <c r="K683" i="1"/>
  <c r="K667" i="1"/>
  <c r="K651" i="1"/>
  <c r="K635" i="1"/>
  <c r="K619" i="1"/>
  <c r="K603" i="1"/>
  <c r="K587" i="1"/>
  <c r="K571" i="1"/>
  <c r="K555" i="1"/>
  <c r="K539" i="1"/>
  <c r="K523" i="1"/>
  <c r="K581" i="1"/>
  <c r="K517" i="1"/>
  <c r="K487" i="1"/>
  <c r="K471" i="1"/>
  <c r="K455" i="1"/>
  <c r="K439" i="1"/>
  <c r="K423" i="1"/>
  <c r="K407" i="1"/>
  <c r="K391" i="1"/>
  <c r="K375" i="1"/>
  <c r="K359" i="1"/>
  <c r="K343" i="1"/>
  <c r="K327" i="1"/>
  <c r="K311" i="1"/>
  <c r="K569" i="1"/>
  <c r="K498" i="1"/>
  <c r="K482" i="1"/>
  <c r="K466" i="1"/>
  <c r="K450" i="1"/>
  <c r="K434" i="1"/>
  <c r="K418" i="1"/>
  <c r="K573" i="1"/>
  <c r="K497" i="1"/>
  <c r="K481" i="1"/>
  <c r="K465" i="1"/>
  <c r="K449" i="1"/>
  <c r="K433" i="1"/>
  <c r="K417" i="1"/>
  <c r="K401" i="1"/>
  <c r="K385" i="1"/>
  <c r="K369" i="1"/>
  <c r="K353" i="1"/>
  <c r="K337" i="1"/>
  <c r="K321" i="1"/>
  <c r="K609" i="1"/>
  <c r="K545" i="1"/>
  <c r="K509" i="1"/>
  <c r="K501" i="1"/>
  <c r="K488" i="1"/>
  <c r="K472" i="1"/>
  <c r="K456" i="1"/>
  <c r="K440" i="1"/>
  <c r="K300" i="1"/>
  <c r="K284" i="1"/>
  <c r="K295" i="1"/>
  <c r="K279" i="1"/>
  <c r="K263" i="1"/>
  <c r="K247" i="1"/>
  <c r="K231" i="1"/>
  <c r="K215" i="1"/>
  <c r="K408" i="1"/>
  <c r="K400" i="1"/>
  <c r="K392" i="1"/>
  <c r="K384" i="1"/>
  <c r="K376" i="1"/>
  <c r="K368" i="1"/>
  <c r="K360" i="1"/>
  <c r="K352" i="1"/>
  <c r="K344" i="1"/>
  <c r="K336" i="1"/>
  <c r="K328" i="1"/>
  <c r="K320" i="1"/>
  <c r="K312" i="1"/>
  <c r="K302" i="1"/>
  <c r="K305" i="1"/>
  <c r="K289" i="1"/>
  <c r="K273" i="1"/>
  <c r="K257" i="1"/>
  <c r="K241" i="1"/>
  <c r="K225" i="1"/>
  <c r="K209" i="1"/>
  <c r="K193" i="1"/>
  <c r="K177" i="1"/>
  <c r="K161" i="1"/>
  <c r="K145" i="1"/>
  <c r="K129" i="1"/>
  <c r="K113" i="1"/>
  <c r="K207" i="1"/>
  <c r="K191" i="1"/>
  <c r="K175" i="1"/>
  <c r="K159" i="1"/>
  <c r="K143" i="1"/>
  <c r="B6" i="7"/>
  <c r="K694" i="1"/>
  <c r="K678" i="1"/>
  <c r="K662" i="1"/>
  <c r="K646" i="1"/>
  <c r="K630" i="1"/>
  <c r="K614" i="1"/>
  <c r="K598" i="1"/>
  <c r="K582" i="1"/>
  <c r="K566" i="1"/>
  <c r="K550" i="1"/>
  <c r="K534" i="1"/>
  <c r="K518" i="1"/>
  <c r="K502" i="1"/>
  <c r="K701" i="1"/>
  <c r="K685" i="1"/>
  <c r="K669" i="1"/>
  <c r="K653" i="1"/>
  <c r="K637" i="1"/>
  <c r="K621" i="1"/>
  <c r="B3" i="7"/>
  <c r="K692" i="1"/>
  <c r="K676" i="1"/>
  <c r="K660" i="1"/>
  <c r="K644" i="1"/>
  <c r="K628" i="1"/>
  <c r="K612" i="1"/>
  <c r="K596" i="1"/>
  <c r="K580" i="1"/>
  <c r="K564" i="1"/>
  <c r="K548" i="1"/>
  <c r="K532" i="1"/>
  <c r="K516" i="1"/>
  <c r="A5" i="7"/>
  <c r="K695" i="1"/>
  <c r="K679" i="1"/>
  <c r="K663" i="1"/>
  <c r="K647" i="1"/>
  <c r="K631" i="1"/>
  <c r="K615" i="1"/>
  <c r="K599" i="1"/>
  <c r="K583" i="1"/>
  <c r="K567" i="1"/>
  <c r="K551" i="1"/>
  <c r="K535" i="1"/>
  <c r="K519" i="1"/>
  <c r="K565" i="1"/>
  <c r="K499" i="1"/>
  <c r="K483" i="1"/>
  <c r="K467" i="1"/>
  <c r="K451" i="1"/>
  <c r="K435" i="1"/>
  <c r="K419" i="1"/>
  <c r="K403" i="1"/>
  <c r="K387" i="1"/>
  <c r="K371" i="1"/>
  <c r="K355" i="1"/>
  <c r="K339" i="1"/>
  <c r="K323" i="1"/>
  <c r="K307" i="1"/>
  <c r="K553" i="1"/>
  <c r="K494" i="1"/>
  <c r="K478" i="1"/>
  <c r="K462" i="1"/>
  <c r="K446" i="1"/>
  <c r="K430" i="1"/>
  <c r="K414" i="1"/>
  <c r="K557" i="1"/>
  <c r="K493" i="1"/>
  <c r="K477" i="1"/>
  <c r="K461" i="1"/>
  <c r="K445" i="1"/>
  <c r="K429" i="1"/>
  <c r="K413" i="1"/>
  <c r="K397" i="1"/>
  <c r="K381" i="1"/>
  <c r="K365" i="1"/>
  <c r="K349" i="1"/>
  <c r="K333" i="1"/>
  <c r="K317" i="1"/>
  <c r="K593" i="1"/>
  <c r="K529" i="1"/>
  <c r="K507" i="1"/>
  <c r="K500" i="1"/>
  <c r="K484" i="1"/>
  <c r="K468" i="1"/>
  <c r="K452" i="1"/>
  <c r="K436" i="1"/>
  <c r="K296" i="1"/>
  <c r="K424" i="1"/>
  <c r="K291" i="1"/>
  <c r="K275" i="1"/>
  <c r="K259" i="1"/>
  <c r="K243" i="1"/>
  <c r="K227" i="1"/>
  <c r="K428" i="1"/>
  <c r="K406" i="1"/>
  <c r="K398" i="1"/>
  <c r="K390" i="1"/>
  <c r="K382" i="1"/>
  <c r="K374" i="1"/>
  <c r="K366" i="1"/>
  <c r="K358" i="1"/>
  <c r="K350" i="1"/>
  <c r="K342" i="1"/>
  <c r="K334" i="1"/>
  <c r="K326" i="1"/>
  <c r="K318" i="1"/>
  <c r="K310" i="1"/>
  <c r="K298" i="1"/>
  <c r="K301" i="1"/>
  <c r="K285" i="1"/>
  <c r="K269" i="1"/>
  <c r="K253" i="1"/>
  <c r="K690" i="1"/>
  <c r="K626" i="1"/>
  <c r="K562" i="1"/>
  <c r="A6" i="7"/>
  <c r="K649" i="1"/>
  <c r="K688" i="1"/>
  <c r="K624" i="1"/>
  <c r="K560" i="1"/>
  <c r="A3" i="7"/>
  <c r="K643" i="1"/>
  <c r="K579" i="1"/>
  <c r="K515" i="1"/>
  <c r="K463" i="1"/>
  <c r="K399" i="1"/>
  <c r="K335" i="1"/>
  <c r="K490" i="1"/>
  <c r="K426" i="1"/>
  <c r="K473" i="1"/>
  <c r="K409" i="1"/>
  <c r="K345" i="1"/>
  <c r="K513" i="1"/>
  <c r="K464" i="1"/>
  <c r="K303" i="1"/>
  <c r="K239" i="1"/>
  <c r="K396" i="1"/>
  <c r="K364" i="1"/>
  <c r="K332" i="1"/>
  <c r="K432" i="1"/>
  <c r="K249" i="1"/>
  <c r="K217" i="1"/>
  <c r="K185" i="1"/>
  <c r="K153" i="1"/>
  <c r="K121" i="1"/>
  <c r="K199" i="1"/>
  <c r="K167" i="1"/>
  <c r="K135" i="1"/>
  <c r="K119" i="1"/>
  <c r="K101" i="1"/>
  <c r="K85" i="1"/>
  <c r="K69" i="1"/>
  <c r="K53" i="1"/>
  <c r="K37" i="1"/>
  <c r="K17" i="1"/>
  <c r="K52" i="1"/>
  <c r="K4" i="1"/>
  <c r="K198" i="1"/>
  <c r="K166" i="1"/>
  <c r="K134" i="1"/>
  <c r="K104" i="1"/>
  <c r="K84" i="1"/>
  <c r="K48" i="1"/>
  <c r="K282" i="1"/>
  <c r="K274" i="1"/>
  <c r="K266" i="1"/>
  <c r="K258" i="1"/>
  <c r="K250" i="1"/>
  <c r="K242" i="1"/>
  <c r="K234" i="1"/>
  <c r="K226" i="1"/>
  <c r="K218" i="1"/>
  <c r="K211" i="1"/>
  <c r="K195" i="1"/>
  <c r="K179" i="1"/>
  <c r="K163" i="1"/>
  <c r="K147" i="1"/>
  <c r="K131" i="1"/>
  <c r="K115" i="1"/>
  <c r="K99" i="1"/>
  <c r="K83" i="1"/>
  <c r="K67" i="1"/>
  <c r="K51" i="1"/>
  <c r="K35" i="1"/>
  <c r="K19" i="1"/>
  <c r="K3" i="1"/>
  <c r="K70" i="1"/>
  <c r="K42" i="1"/>
  <c r="K14" i="1"/>
  <c r="K5" i="1"/>
  <c r="K24" i="1"/>
  <c r="K202" i="1"/>
  <c r="K170" i="1"/>
  <c r="K138" i="1"/>
  <c r="K106" i="1"/>
  <c r="K90" i="1"/>
  <c r="K46" i="1"/>
  <c r="K6" i="1"/>
  <c r="K162" i="1"/>
  <c r="K74" i="1"/>
  <c r="K34" i="1"/>
  <c r="K98" i="1"/>
  <c r="K16" i="1"/>
  <c r="K642" i="1"/>
  <c r="K514" i="1"/>
  <c r="B1" i="7"/>
  <c r="K576" i="1"/>
  <c r="K659" i="1"/>
  <c r="K531" i="1"/>
  <c r="K415" i="1"/>
  <c r="K442" i="1"/>
  <c r="K425" i="1"/>
  <c r="K480" i="1"/>
  <c r="K255" i="1"/>
  <c r="K372" i="1"/>
  <c r="K265" i="1"/>
  <c r="K157" i="1"/>
  <c r="K125" i="1"/>
  <c r="K136" i="1"/>
  <c r="K89" i="1"/>
  <c r="K41" i="1"/>
  <c r="K8" i="1"/>
  <c r="K142" i="1"/>
  <c r="K60" i="1"/>
  <c r="K268" i="1"/>
  <c r="K244" i="1"/>
  <c r="K220" i="1"/>
  <c r="K180" i="1"/>
  <c r="K132" i="1"/>
  <c r="K87" i="1"/>
  <c r="K55" i="1"/>
  <c r="K7" i="1"/>
  <c r="K13" i="1"/>
  <c r="K178" i="1"/>
  <c r="K94" i="1"/>
  <c r="K674" i="1"/>
  <c r="K610" i="1"/>
  <c r="K546" i="1"/>
  <c r="K697" i="1"/>
  <c r="K633" i="1"/>
  <c r="K672" i="1"/>
  <c r="K608" i="1"/>
  <c r="K544" i="1"/>
  <c r="K691" i="1"/>
  <c r="K627" i="1"/>
  <c r="K563" i="1"/>
  <c r="K549" i="1"/>
  <c r="K447" i="1"/>
  <c r="K383" i="1"/>
  <c r="K319" i="1"/>
  <c r="K474" i="1"/>
  <c r="K605" i="1"/>
  <c r="K457" i="1"/>
  <c r="K393" i="1"/>
  <c r="K329" i="1"/>
  <c r="K505" i="1"/>
  <c r="K448" i="1"/>
  <c r="K287" i="1"/>
  <c r="K223" i="1"/>
  <c r="K388" i="1"/>
  <c r="K356" i="1"/>
  <c r="K324" i="1"/>
  <c r="K297" i="1"/>
  <c r="K237" i="1"/>
  <c r="K205" i="1"/>
  <c r="K173" i="1"/>
  <c r="K141" i="1"/>
  <c r="K109" i="1"/>
  <c r="K184" i="1"/>
  <c r="K152" i="1"/>
  <c r="K128" i="1"/>
  <c r="K112" i="1"/>
  <c r="K97" i="1"/>
  <c r="K81" i="1"/>
  <c r="K65" i="1"/>
  <c r="K49" i="1"/>
  <c r="K33" i="1"/>
  <c r="K9" i="1"/>
  <c r="K44" i="1"/>
  <c r="K2" i="1"/>
  <c r="K190" i="1"/>
  <c r="K158" i="1"/>
  <c r="K126" i="1"/>
  <c r="K100" i="1"/>
  <c r="K76" i="1"/>
  <c r="K40" i="1"/>
  <c r="K280" i="1"/>
  <c r="K272" i="1"/>
  <c r="K264" i="1"/>
  <c r="K256" i="1"/>
  <c r="K248" i="1"/>
  <c r="K240" i="1"/>
  <c r="K232" i="1"/>
  <c r="K224" i="1"/>
  <c r="K216" i="1"/>
  <c r="K204" i="1"/>
  <c r="K188" i="1"/>
  <c r="K172" i="1"/>
  <c r="K156" i="1"/>
  <c r="K140" i="1"/>
  <c r="K124" i="1"/>
  <c r="K108" i="1"/>
  <c r="K95" i="1"/>
  <c r="K79" i="1"/>
  <c r="K63" i="1"/>
  <c r="K47" i="1"/>
  <c r="K31" i="1"/>
  <c r="K15" i="1"/>
  <c r="K86" i="1"/>
  <c r="K58" i="1"/>
  <c r="K38" i="1"/>
  <c r="K10" i="1"/>
  <c r="K92" i="1"/>
  <c r="K12" i="1"/>
  <c r="K194" i="1"/>
  <c r="K130" i="1"/>
  <c r="K102" i="1"/>
  <c r="K20" i="1"/>
  <c r="K26" i="1"/>
  <c r="K578" i="1"/>
  <c r="K351" i="1"/>
  <c r="K577" i="1"/>
  <c r="K340" i="1"/>
  <c r="K189" i="1"/>
  <c r="K168" i="1"/>
  <c r="K105" i="1"/>
  <c r="K57" i="1"/>
  <c r="K64" i="1"/>
  <c r="K174" i="1"/>
  <c r="K110" i="1"/>
  <c r="K32" i="1"/>
  <c r="K260" i="1"/>
  <c r="K236" i="1"/>
  <c r="K212" i="1"/>
  <c r="K164" i="1"/>
  <c r="K116" i="1"/>
  <c r="K71" i="1"/>
  <c r="K23" i="1"/>
  <c r="K50" i="1"/>
  <c r="K56" i="1"/>
  <c r="K146" i="1"/>
  <c r="K18" i="1"/>
  <c r="K658" i="1"/>
  <c r="K594" i="1"/>
  <c r="K530" i="1"/>
  <c r="K681" i="1"/>
  <c r="K617" i="1"/>
  <c r="K656" i="1"/>
  <c r="K592" i="1"/>
  <c r="K528" i="1"/>
  <c r="K675" i="1"/>
  <c r="K611" i="1"/>
  <c r="K547" i="1"/>
  <c r="K495" i="1"/>
  <c r="K431" i="1"/>
  <c r="K367" i="1"/>
  <c r="K601" i="1"/>
  <c r="K458" i="1"/>
  <c r="K541" i="1"/>
  <c r="K441" i="1"/>
  <c r="K377" i="1"/>
  <c r="K313" i="1"/>
  <c r="K496" i="1"/>
  <c r="K420" i="1"/>
  <c r="K271" i="1"/>
  <c r="K412" i="1"/>
  <c r="K380" i="1"/>
  <c r="K348" i="1"/>
  <c r="K316" i="1"/>
  <c r="K281" i="1"/>
  <c r="K233" i="1"/>
  <c r="K201" i="1"/>
  <c r="K169" i="1"/>
  <c r="K137" i="1"/>
  <c r="K290" i="1"/>
  <c r="K183" i="1"/>
  <c r="K151" i="1"/>
  <c r="K127" i="1"/>
  <c r="K111" i="1"/>
  <c r="K93" i="1"/>
  <c r="K77" i="1"/>
  <c r="K61" i="1"/>
  <c r="K45" i="1"/>
  <c r="K29" i="1"/>
  <c r="K68" i="1"/>
  <c r="K28" i="1"/>
  <c r="K294" i="1"/>
  <c r="K182" i="1"/>
  <c r="K150" i="1"/>
  <c r="K118" i="1"/>
  <c r="K96" i="1"/>
  <c r="K72" i="1"/>
  <c r="K36" i="1"/>
  <c r="K278" i="1"/>
  <c r="K270" i="1"/>
  <c r="K262" i="1"/>
  <c r="K254" i="1"/>
  <c r="K246" i="1"/>
  <c r="K238" i="1"/>
  <c r="K230" i="1"/>
  <c r="K222" i="1"/>
  <c r="K214" i="1"/>
  <c r="K203" i="1"/>
  <c r="K187" i="1"/>
  <c r="K171" i="1"/>
  <c r="K155" i="1"/>
  <c r="K139" i="1"/>
  <c r="K123" i="1"/>
  <c r="K107" i="1"/>
  <c r="K91" i="1"/>
  <c r="K75" i="1"/>
  <c r="K59" i="1"/>
  <c r="K43" i="1"/>
  <c r="K27" i="1"/>
  <c r="K11" i="1"/>
  <c r="K82" i="1"/>
  <c r="K54" i="1"/>
  <c r="K30" i="1"/>
  <c r="K21" i="1"/>
  <c r="K80" i="1"/>
  <c r="K286" i="1"/>
  <c r="K186" i="1"/>
  <c r="K154" i="1"/>
  <c r="K122" i="1"/>
  <c r="K66" i="1"/>
  <c r="B4" i="7"/>
  <c r="K665" i="1"/>
  <c r="K640" i="1"/>
  <c r="K512" i="1"/>
  <c r="K595" i="1"/>
  <c r="K479" i="1"/>
  <c r="K537" i="1"/>
  <c r="K489" i="1"/>
  <c r="K361" i="1"/>
  <c r="K292" i="1"/>
  <c r="K404" i="1"/>
  <c r="K308" i="1"/>
  <c r="K221" i="1"/>
  <c r="K200" i="1"/>
  <c r="K120" i="1"/>
  <c r="K73" i="1"/>
  <c r="K25" i="1"/>
  <c r="K206" i="1"/>
  <c r="K88" i="1"/>
  <c r="K276" i="1"/>
  <c r="K252" i="1"/>
  <c r="K228" i="1"/>
  <c r="K196" i="1"/>
  <c r="K148" i="1"/>
  <c r="K103" i="1"/>
  <c r="K39" i="1"/>
  <c r="K78" i="1"/>
  <c r="K22" i="1"/>
  <c r="K210" i="1"/>
  <c r="K114" i="1"/>
  <c r="K62" i="1"/>
  <c r="M2" i="1" l="1"/>
</calcChain>
</file>

<file path=xl/sharedStrings.xml><?xml version="1.0" encoding="utf-8"?>
<sst xmlns="http://schemas.openxmlformats.org/spreadsheetml/2006/main" count="2948" uniqueCount="274">
  <si>
    <t>Customer ID</t>
  </si>
  <si>
    <t>Purchase Date</t>
  </si>
  <si>
    <t>Month</t>
  </si>
  <si>
    <t>Product Category</t>
  </si>
  <si>
    <t>Product Name</t>
  </si>
  <si>
    <t>Purchase Amount</t>
  </si>
  <si>
    <t>Location</t>
  </si>
  <si>
    <t>Repeat Customers</t>
  </si>
  <si>
    <t>Orders Count</t>
  </si>
  <si>
    <t>Customer Type</t>
  </si>
  <si>
    <t>Number of Customers</t>
  </si>
  <si>
    <t>Average Order Value</t>
  </si>
  <si>
    <t>Repeat Customer %</t>
  </si>
  <si>
    <t>C167</t>
  </si>
  <si>
    <t>Beauty</t>
  </si>
  <si>
    <t>Perfume</t>
  </si>
  <si>
    <t>Houston</t>
  </si>
  <si>
    <t>C147</t>
  </si>
  <si>
    <t>Clothing</t>
  </si>
  <si>
    <t>Jeans</t>
  </si>
  <si>
    <t>C195</t>
  </si>
  <si>
    <t>Shoes</t>
  </si>
  <si>
    <t>Seattle</t>
  </si>
  <si>
    <t>C178</t>
  </si>
  <si>
    <t>Jacket</t>
  </si>
  <si>
    <t>Los Angeles</t>
  </si>
  <si>
    <t>C183</t>
  </si>
  <si>
    <t>C123</t>
  </si>
  <si>
    <t>Electronics</t>
  </si>
  <si>
    <t>Keyboard</t>
  </si>
  <si>
    <t>New York</t>
  </si>
  <si>
    <t>C033</t>
  </si>
  <si>
    <t>Shampoo</t>
  </si>
  <si>
    <t>Chicago</t>
  </si>
  <si>
    <t>C172</t>
  </si>
  <si>
    <t>Sports</t>
  </si>
  <si>
    <t>Dumbbells</t>
  </si>
  <si>
    <t>Boston</t>
  </si>
  <si>
    <t>C060</t>
  </si>
  <si>
    <t>Tennis Racket</t>
  </si>
  <si>
    <t>C107</t>
  </si>
  <si>
    <t>Foundation</t>
  </si>
  <si>
    <t>C008</t>
  </si>
  <si>
    <t>Smartphone</t>
  </si>
  <si>
    <t>C091</t>
  </si>
  <si>
    <t>Headphones</t>
  </si>
  <si>
    <t>C070</t>
  </si>
  <si>
    <t>Sweater</t>
  </si>
  <si>
    <t>C190</t>
  </si>
  <si>
    <t>C067</t>
  </si>
  <si>
    <t>C075</t>
  </si>
  <si>
    <t>Home</t>
  </si>
  <si>
    <t>Chair</t>
  </si>
  <si>
    <t>C047</t>
  </si>
  <si>
    <t>Yoga Mat</t>
  </si>
  <si>
    <t>C023</t>
  </si>
  <si>
    <t>C001</t>
  </si>
  <si>
    <t>C182</t>
  </si>
  <si>
    <t>Soccer Ball</t>
  </si>
  <si>
    <t>Lipstick</t>
  </si>
  <si>
    <t>C100</t>
  </si>
  <si>
    <t>C025</t>
  </si>
  <si>
    <t>C040</t>
  </si>
  <si>
    <t>C101</t>
  </si>
  <si>
    <t>C031</t>
  </si>
  <si>
    <t>T-shirt</t>
  </si>
  <si>
    <t>C136</t>
  </si>
  <si>
    <t>C194</t>
  </si>
  <si>
    <t>Toaster</t>
  </si>
  <si>
    <t>C005</t>
  </si>
  <si>
    <t>Miami</t>
  </si>
  <si>
    <t>C069</t>
  </si>
  <si>
    <t>Lamp</t>
  </si>
  <si>
    <t>C056</t>
  </si>
  <si>
    <t>Mouse</t>
  </si>
  <si>
    <t>C010</t>
  </si>
  <si>
    <t>C026</t>
  </si>
  <si>
    <t>C180</t>
  </si>
  <si>
    <t>C049</t>
  </si>
  <si>
    <t>C089</t>
  </si>
  <si>
    <t>C018</t>
  </si>
  <si>
    <t>C057</t>
  </si>
  <si>
    <t>C139</t>
  </si>
  <si>
    <t>C132</t>
  </si>
  <si>
    <t>C158</t>
  </si>
  <si>
    <t>C171</t>
  </si>
  <si>
    <t>C199</t>
  </si>
  <si>
    <t>Laptop</t>
  </si>
  <si>
    <t>C106</t>
  </si>
  <si>
    <t>C185</t>
  </si>
  <si>
    <t>C159</t>
  </si>
  <si>
    <t>C166</t>
  </si>
  <si>
    <t>C043</t>
  </si>
  <si>
    <t>Sneakers</t>
  </si>
  <si>
    <t>C141</t>
  </si>
  <si>
    <t>C161</t>
  </si>
  <si>
    <t>Lotion</t>
  </si>
  <si>
    <t>C122</t>
  </si>
  <si>
    <t>C170</t>
  </si>
  <si>
    <t>C179</t>
  </si>
  <si>
    <t>C112</t>
  </si>
  <si>
    <t>Blender</t>
  </si>
  <si>
    <t>C143</t>
  </si>
  <si>
    <t>C074</t>
  </si>
  <si>
    <t>C041</t>
  </si>
  <si>
    <t>C117</t>
  </si>
  <si>
    <t>C099</t>
  </si>
  <si>
    <t>C009</t>
  </si>
  <si>
    <t>C094</t>
  </si>
  <si>
    <t>C116</t>
  </si>
  <si>
    <t>C109</t>
  </si>
  <si>
    <t>C048</t>
  </si>
  <si>
    <t>C098</t>
  </si>
  <si>
    <t>C079</t>
  </si>
  <si>
    <t>C042</t>
  </si>
  <si>
    <t>C081</t>
  </si>
  <si>
    <t>C192</t>
  </si>
  <si>
    <t>C024</t>
  </si>
  <si>
    <t>C092</t>
  </si>
  <si>
    <t>C019</t>
  </si>
  <si>
    <t>C037</t>
  </si>
  <si>
    <t>C169</t>
  </si>
  <si>
    <t>C078</t>
  </si>
  <si>
    <t>C036</t>
  </si>
  <si>
    <t>C163</t>
  </si>
  <si>
    <t>C084</t>
  </si>
  <si>
    <t>C044</t>
  </si>
  <si>
    <t>C020</t>
  </si>
  <si>
    <t>C006</t>
  </si>
  <si>
    <t>C113</t>
  </si>
  <si>
    <t>C187</t>
  </si>
  <si>
    <t>C097</t>
  </si>
  <si>
    <t>C152</t>
  </si>
  <si>
    <t>C063</t>
  </si>
  <si>
    <t>C114</t>
  </si>
  <si>
    <t>C085</t>
  </si>
  <si>
    <t>C046</t>
  </si>
  <si>
    <t>C173</t>
  </si>
  <si>
    <t>C120</t>
  </si>
  <si>
    <t>C130</t>
  </si>
  <si>
    <t>C111</t>
  </si>
  <si>
    <t>C153</t>
  </si>
  <si>
    <t>C121</t>
  </si>
  <si>
    <t>C154</t>
  </si>
  <si>
    <t>C055</t>
  </si>
  <si>
    <t>Microwave</t>
  </si>
  <si>
    <t>C138</t>
  </si>
  <si>
    <t>C184</t>
  </si>
  <si>
    <t>C082</t>
  </si>
  <si>
    <t>C035</t>
  </si>
  <si>
    <t>C016</t>
  </si>
  <si>
    <t>C003</t>
  </si>
  <si>
    <t>C198</t>
  </si>
  <si>
    <t>C077</t>
  </si>
  <si>
    <t>C115</t>
  </si>
  <si>
    <t>C021</t>
  </si>
  <si>
    <t>C054</t>
  </si>
  <si>
    <t>C164</t>
  </si>
  <si>
    <t>C110</t>
  </si>
  <si>
    <t>C012</t>
  </si>
  <si>
    <t>C133</t>
  </si>
  <si>
    <t>C134</t>
  </si>
  <si>
    <t>C127</t>
  </si>
  <si>
    <t>C197</t>
  </si>
  <si>
    <t>C181</t>
  </si>
  <si>
    <t>C086</t>
  </si>
  <si>
    <t>C119</t>
  </si>
  <si>
    <t>C137</t>
  </si>
  <si>
    <t>C105</t>
  </si>
  <si>
    <t>C072</t>
  </si>
  <si>
    <t>C071</t>
  </si>
  <si>
    <t>C080</t>
  </si>
  <si>
    <t>C030</t>
  </si>
  <si>
    <t>C022</t>
  </si>
  <si>
    <t>C174</t>
  </si>
  <si>
    <t>C162</t>
  </si>
  <si>
    <t>C124</t>
  </si>
  <si>
    <t>C017</t>
  </si>
  <si>
    <t>C062</t>
  </si>
  <si>
    <t>C051</t>
  </si>
  <si>
    <t>C176</t>
  </si>
  <si>
    <t>C118</t>
  </si>
  <si>
    <t>C157</t>
  </si>
  <si>
    <t>C002</t>
  </si>
  <si>
    <t>C015</t>
  </si>
  <si>
    <t>C149</t>
  </si>
  <si>
    <t>C148</t>
  </si>
  <si>
    <t>C061</t>
  </si>
  <si>
    <t>C196</t>
  </si>
  <si>
    <t>C058</t>
  </si>
  <si>
    <t>C103</t>
  </si>
  <si>
    <t>C165</t>
  </si>
  <si>
    <t>C102</t>
  </si>
  <si>
    <t>C140</t>
  </si>
  <si>
    <t>C039</t>
  </si>
  <si>
    <t>C188</t>
  </si>
  <si>
    <t>C004</t>
  </si>
  <si>
    <t>C073</t>
  </si>
  <si>
    <t>C076</t>
  </si>
  <si>
    <t>C064</t>
  </si>
  <si>
    <t>C142</t>
  </si>
  <si>
    <t>C038</t>
  </si>
  <si>
    <t>C034</t>
  </si>
  <si>
    <t>C028</t>
  </si>
  <si>
    <t>C144</t>
  </si>
  <si>
    <t>C200</t>
  </si>
  <si>
    <t>C131</t>
  </si>
  <si>
    <t>C095</t>
  </si>
  <si>
    <t>C129</t>
  </si>
  <si>
    <t>C160</t>
  </si>
  <si>
    <t>C050</t>
  </si>
  <si>
    <t>C032</t>
  </si>
  <si>
    <t>C186</t>
  </si>
  <si>
    <t>C175</t>
  </si>
  <si>
    <t>C108</t>
  </si>
  <si>
    <t>C177</t>
  </si>
  <si>
    <t>C029</t>
  </si>
  <si>
    <t>C126</t>
  </si>
  <si>
    <t>C065</t>
  </si>
  <si>
    <t>C193</t>
  </si>
  <si>
    <t>C150</t>
  </si>
  <si>
    <t>C088</t>
  </si>
  <si>
    <t>C146</t>
  </si>
  <si>
    <t>C045</t>
  </si>
  <si>
    <t>C066</t>
  </si>
  <si>
    <t>C007</t>
  </si>
  <si>
    <t>C027</t>
  </si>
  <si>
    <t>C155</t>
  </si>
  <si>
    <t>C052</t>
  </si>
  <si>
    <t>C145</t>
  </si>
  <si>
    <t>C156</t>
  </si>
  <si>
    <t>C014</t>
  </si>
  <si>
    <t>C104</t>
  </si>
  <si>
    <t>C068</t>
  </si>
  <si>
    <t>C083</t>
  </si>
  <si>
    <t>C059</t>
  </si>
  <si>
    <t>C128</t>
  </si>
  <si>
    <t>C087</t>
  </si>
  <si>
    <t>C189</t>
  </si>
  <si>
    <t>C053</t>
  </si>
  <si>
    <t>C151</t>
  </si>
  <si>
    <t>C090</t>
  </si>
  <si>
    <t>C011</t>
  </si>
  <si>
    <t>C013</t>
  </si>
  <si>
    <t>C096</t>
  </si>
  <si>
    <t>C135</t>
  </si>
  <si>
    <t>COUNTUNIQUE of Customer ID</t>
  </si>
  <si>
    <t>Grand Total</t>
  </si>
  <si>
    <t>Revenue</t>
  </si>
  <si>
    <t>Order Count</t>
  </si>
  <si>
    <t>01-2026</t>
  </si>
  <si>
    <t>02-2025</t>
  </si>
  <si>
    <t>02-2026</t>
  </si>
  <si>
    <t>03-2025</t>
  </si>
  <si>
    <t>04-2025</t>
  </si>
  <si>
    <t>05-2025</t>
  </si>
  <si>
    <t>06-2025</t>
  </si>
  <si>
    <t>07-2025</t>
  </si>
  <si>
    <t>08-2025</t>
  </si>
  <si>
    <t>09-2025</t>
  </si>
  <si>
    <t>10-2025</t>
  </si>
  <si>
    <t>11-2025</t>
  </si>
  <si>
    <t>12-2025</t>
  </si>
  <si>
    <t>Sales</t>
  </si>
  <si>
    <t>SUM of Purchase Amount</t>
  </si>
  <si>
    <t>Total Revenue</t>
  </si>
  <si>
    <t>SUM of sum Purchase Amount</t>
  </si>
  <si>
    <t>New</t>
  </si>
  <si>
    <t>Repeat</t>
  </si>
  <si>
    <t>(blank)</t>
  </si>
  <si>
    <t/>
  </si>
  <si>
    <t>Row Labels</t>
  </si>
  <si>
    <t>Column Labels</t>
  </si>
  <si>
    <t>Sum of Purchase Amount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</si>
</sst>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mm\-yyyy"/>
    <numFmt numFmtId="165" formatCode="mmm\-d"/>
    <numFmt numFmtId="166" formatCode="d\-m\-yyyy"/>
  </numFmts>
  <fonts count="6" x14ac:knownFonts="1">
    <font>
      <sz val="10"/>
      <color rgb="FF000000"/>
      <name val="Arial"/>
      <scheme val="minor"/>
    </font>
    <font>
      <sz val="11"/>
      <color rgb="FF000000"/>
      <name val="Calibri"/>
    </font>
    <font>
      <sz val="10"/>
      <color theme="1"/>
      <name val="Arial"/>
      <scheme val="minor"/>
    </font>
    <font>
      <b/>
      <sz val="10"/>
      <color rgb="FF000000"/>
      <name val="Arial"/>
      <family val="2"/>
      <scheme val="minor"/>
    </font>
    <font>
      <b/>
      <sz val="11"/>
      <color theme="1"/>
      <name val="Calibri"/>
      <family val="2"/>
    </font>
    <font>
      <sz val="11"/>
      <color theme="1"/>
      <name val="Calibri"/>
    </font>
  </fonts>
  <fills count="6">
    <fill>
      <patternFill patternType="none"/>
    </fill>
    <fill>
      <patternFill patternType="gray125"/>
    </fill>
    <fill>
      <patternFill patternType="solid">
        <fgColor rgb="FFCFE2F3"/>
        <bgColor rgb="FFCFE2F3"/>
      </patternFill>
    </fill>
    <fill>
      <patternFill patternType="solid">
        <fgColor theme="4" tint="0.79998168889431442"/>
        <bgColor theme="4" tint="0.79998168889431442"/>
      </patternFill>
    </fill>
    <fill>
      <patternFill patternType="solid">
        <fgColor theme="4" tint="0.39997558519241921"/>
        <bgColor theme="4" tint="0.79998168889431442"/>
      </patternFill>
    </fill>
    <fill>
      <patternFill patternType="solid">
        <fgColor theme="4" tint="0.39997558519241921"/>
        <bgColor indexed="64"/>
      </patternFill>
    </fill>
  </fills>
  <borders count="18">
    <border>
      <left/>
      <right/>
      <top/>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indexed="65"/>
      </left>
      <right style="thin">
        <color rgb="FFABABAB"/>
      </right>
      <top style="thin">
        <color rgb="FFABABAB"/>
      </top>
      <bottom/>
      <diagonal/>
    </border>
    <border>
      <left/>
      <right style="thin">
        <color rgb="FFABABAB"/>
      </right>
      <top style="thin">
        <color rgb="FFABABAB"/>
      </top>
      <bottom/>
      <diagonal/>
    </border>
    <border>
      <left/>
      <right style="thin">
        <color rgb="FFABABAB"/>
      </right>
      <top/>
      <bottom/>
      <diagonal/>
    </border>
    <border>
      <left/>
      <right style="thin">
        <color rgb="FFABABAB"/>
      </right>
      <top style="thin">
        <color rgb="FFABABAB"/>
      </top>
      <bottom style="thin">
        <color rgb="FFABABAB"/>
      </bottom>
      <diagonal/>
    </border>
    <border>
      <left style="thin">
        <color indexed="65"/>
      </left>
      <right/>
      <top style="thin">
        <color rgb="FFABABAB"/>
      </top>
      <bottom/>
      <diagonal/>
    </border>
    <border>
      <left/>
      <right/>
      <top style="thin">
        <color rgb="FFABABAB"/>
      </top>
      <bottom/>
      <diagonal/>
    </border>
    <border>
      <left/>
      <right/>
      <top style="thin">
        <color rgb="FFABABAB"/>
      </top>
      <bottom style="thin">
        <color rgb="FFABABAB"/>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s>
  <cellStyleXfs count="1">
    <xf numFmtId="0" fontId="0" fillId="0" borderId="0"/>
  </cellStyleXfs>
  <cellXfs count="45">
    <xf numFmtId="0" fontId="0" fillId="0" borderId="0" xfId="0" applyFont="1" applyAlignment="1"/>
    <xf numFmtId="0" fontId="1" fillId="0" borderId="0" xfId="0" applyFont="1" applyAlignment="1"/>
    <xf numFmtId="0" fontId="2" fillId="0" borderId="0" xfId="0" applyFont="1"/>
    <xf numFmtId="0" fontId="2" fillId="0" borderId="0" xfId="0" applyFont="1" applyAlignment="1"/>
    <xf numFmtId="0" fontId="2" fillId="2" borderId="0" xfId="0" applyFont="1" applyFill="1"/>
    <xf numFmtId="0" fontId="0" fillId="0" borderId="1" xfId="0" pivotButton="1" applyFont="1" applyBorder="1" applyAlignment="1"/>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4" xfId="0" pivotButton="1" applyFont="1" applyBorder="1" applyAlignment="1"/>
    <xf numFmtId="0" fontId="0" fillId="0" borderId="4" xfId="0" applyFont="1" applyBorder="1" applyAlignment="1"/>
    <xf numFmtId="0" fontId="0" fillId="0" borderId="1" xfId="0" applyNumberFormat="1" applyFont="1" applyBorder="1" applyAlignment="1"/>
    <xf numFmtId="0" fontId="0" fillId="0" borderId="5" xfId="0" applyFont="1" applyBorder="1" applyAlignment="1"/>
    <xf numFmtId="0" fontId="0" fillId="0" borderId="2" xfId="0" applyNumberFormat="1" applyFont="1" applyBorder="1" applyAlignment="1"/>
    <xf numFmtId="0" fontId="0" fillId="0" borderId="6" xfId="0" applyFont="1" applyBorder="1" applyAlignment="1"/>
    <xf numFmtId="0" fontId="0" fillId="0" borderId="3" xfId="0" applyNumberFormat="1" applyFont="1" applyBorder="1" applyAlignment="1"/>
    <xf numFmtId="0" fontId="0" fillId="0" borderId="7" xfId="0" applyFont="1" applyBorder="1" applyAlignment="1"/>
    <xf numFmtId="0" fontId="0" fillId="0" borderId="8" xfId="0" applyFont="1" applyBorder="1" applyAlignment="1"/>
    <xf numFmtId="165" fontId="0" fillId="0" borderId="4" xfId="0" applyNumberFormat="1" applyFont="1" applyBorder="1" applyAlignment="1"/>
    <xf numFmtId="0" fontId="0" fillId="0" borderId="4" xfId="0" applyNumberFormat="1" applyFont="1" applyBorder="1" applyAlignment="1"/>
    <xf numFmtId="0" fontId="0" fillId="0" borderId="8" xfId="0" applyNumberFormat="1" applyFont="1" applyBorder="1" applyAlignment="1"/>
    <xf numFmtId="165" fontId="0" fillId="0" borderId="5" xfId="0" applyNumberFormat="1" applyFont="1" applyBorder="1" applyAlignment="1"/>
    <xf numFmtId="0" fontId="0" fillId="0" borderId="5" xfId="0" applyNumberFormat="1" applyFont="1" applyBorder="1" applyAlignment="1"/>
    <xf numFmtId="0" fontId="0" fillId="0" borderId="9" xfId="0" applyNumberFormat="1" applyFont="1" applyBorder="1" applyAlignment="1"/>
    <xf numFmtId="165" fontId="0" fillId="0" borderId="6" xfId="0" applyNumberFormat="1" applyFont="1" applyBorder="1" applyAlignment="1"/>
    <xf numFmtId="0" fontId="0" fillId="0" borderId="6" xfId="0" applyNumberFormat="1" applyFont="1" applyBorder="1" applyAlignment="1"/>
    <xf numFmtId="0" fontId="0" fillId="0" borderId="10" xfId="0" applyNumberFormat="1" applyFont="1" applyBorder="1" applyAlignment="1"/>
    <xf numFmtId="0" fontId="0" fillId="0" borderId="11" xfId="0" applyFont="1" applyBorder="1" applyAlignment="1"/>
    <xf numFmtId="165" fontId="0" fillId="0" borderId="12" xfId="0" applyNumberFormat="1" applyFont="1" applyBorder="1" applyAlignment="1"/>
    <xf numFmtId="165" fontId="0" fillId="0" borderId="1" xfId="0" applyNumberFormat="1" applyFont="1" applyBorder="1" applyAlignment="1"/>
    <xf numFmtId="0" fontId="0" fillId="0" borderId="12" xfId="0" applyNumberFormat="1" applyFont="1" applyBorder="1" applyAlignment="1"/>
    <xf numFmtId="0" fontId="0" fillId="0" borderId="0" xfId="0" applyNumberFormat="1" applyFont="1" applyAlignment="1"/>
    <xf numFmtId="0" fontId="0" fillId="0" borderId="13" xfId="0" applyNumberFormat="1" applyFont="1" applyBorder="1" applyAlignment="1"/>
    <xf numFmtId="0" fontId="5" fillId="3" borderId="16" xfId="0" applyFont="1" applyFill="1" applyBorder="1" applyAlignment="1"/>
    <xf numFmtId="164" fontId="5" fillId="3" borderId="17" xfId="0" applyNumberFormat="1" applyFont="1" applyFill="1" applyBorder="1" applyAlignment="1">
      <alignment horizontal="right"/>
    </xf>
    <xf numFmtId="165" fontId="5" fillId="3" borderId="17" xfId="0" applyNumberFormat="1" applyFont="1" applyFill="1" applyBorder="1" applyAlignment="1">
      <alignment horizontal="right"/>
    </xf>
    <xf numFmtId="0" fontId="5" fillId="3" borderId="17" xfId="0" applyFont="1" applyFill="1" applyBorder="1" applyAlignment="1"/>
    <xf numFmtId="0" fontId="5" fillId="3" borderId="17" xfId="0" applyFont="1" applyFill="1" applyBorder="1" applyAlignment="1">
      <alignment horizontal="right"/>
    </xf>
    <xf numFmtId="10" fontId="5" fillId="3" borderId="17" xfId="0" applyNumberFormat="1" applyFont="1" applyFill="1" applyBorder="1" applyAlignment="1">
      <alignment horizontal="right"/>
    </xf>
    <xf numFmtId="166" fontId="5" fillId="3" borderId="17" xfId="0" applyNumberFormat="1" applyFont="1" applyFill="1" applyBorder="1" applyAlignment="1">
      <alignment horizontal="right"/>
    </xf>
    <xf numFmtId="0" fontId="0" fillId="0" borderId="0" xfId="0" pivotButton="1" applyFont="1" applyAlignment="1"/>
    <xf numFmtId="0" fontId="0" fillId="0" borderId="0" xfId="0" applyFont="1" applyAlignment="1">
      <alignment horizontal="left"/>
    </xf>
    <xf numFmtId="0" fontId="4" fillId="4" borderId="14" xfId="0" applyFont="1" applyFill="1" applyBorder="1" applyAlignment="1"/>
    <xf numFmtId="0" fontId="4" fillId="4" borderId="15" xfId="0" applyFont="1" applyFill="1" applyBorder="1" applyAlignment="1"/>
    <xf numFmtId="0" fontId="3" fillId="5" borderId="0" xfId="0" applyFont="1" applyFill="1" applyAlignment="1"/>
  </cellXfs>
  <cellStyles count="1">
    <cellStyle name="Normal" xfId="0" builtinId="0"/>
  </cellStyles>
  <dxfs count="0"/>
  <tableStyles count="0" defaultTableStyle="TableStyleMedium2" defaultPivotStyle="PivotStyleLight16"/>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[E-Commerce-Customer-Insights-Dashboard.xlsx]Sheet3!PivotTable3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alpha val="85000"/>
              </a:schemeClr>
            </a:solidFill>
            <a:round/>
          </a:ln>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alpha val="85000"/>
              </a:schemeClr>
            </a:solidFill>
            <a:round/>
          </a:ln>
          <a:effectLst/>
        </c:spPr>
        <c:marker>
          <c:symbol val="none"/>
        </c:marker>
        <c:dLbl>
          <c:idx val="0"/>
          <c:layout>
            <c:manualLayout>
              <c:x val="-4.1666666666666664E-2"/>
              <c:y val="7.8703703703703706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alpha val="85000"/>
              </a:schemeClr>
            </a:solidFill>
            <a:round/>
          </a:ln>
          <a:effectLst/>
        </c:spPr>
        <c:marker>
          <c:symbol val="none"/>
        </c:marker>
        <c:dLbl>
          <c:idx val="0"/>
          <c:layout>
            <c:manualLayout>
              <c:x val="0.125"/>
              <c:y val="-3.2407407407407426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alpha val="85000"/>
              </a:schemeClr>
            </a:solidFill>
            <a:round/>
          </a:ln>
          <a:effectLst/>
        </c:spPr>
        <c:marker>
          <c:symbol val="none"/>
        </c:marker>
        <c:dLbl>
          <c:idx val="0"/>
          <c:layout>
            <c:manualLayout>
              <c:x val="0.10833333333333334"/>
              <c:y val="5.555555555555560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alpha val="85000"/>
              </a:schemeClr>
            </a:solidFill>
            <a:round/>
          </a:ln>
          <a:effectLst/>
        </c:spPr>
        <c:marker>
          <c:symbol val="none"/>
        </c:marker>
        <c:dLbl>
          <c:idx val="0"/>
          <c:layout>
            <c:manualLayout>
              <c:x val="-8.3333333333333329E-2"/>
              <c:y val="6.9444444444444364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alpha val="85000"/>
              </a:schemeClr>
            </a:solidFill>
            <a:round/>
          </a:ln>
          <a:effectLst/>
        </c:spPr>
        <c:marker>
          <c:symbol val="none"/>
        </c:marker>
        <c:dLbl>
          <c:idx val="0"/>
          <c:layout>
            <c:manualLayout>
              <c:x val="1.1111111111111112E-2"/>
              <c:y val="6.0185185185185182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alpha val="85000"/>
              </a:schemeClr>
            </a:solidFill>
            <a:round/>
          </a:ln>
          <a:effectLst/>
        </c:spPr>
        <c:marker>
          <c:symbol val="none"/>
        </c:marker>
        <c:dLbl>
          <c:idx val="0"/>
          <c:layout>
            <c:manualLayout>
              <c:x val="7.7777777777777779E-2"/>
              <c:y val="3.009259259259259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50000000000001"/>
                  <c:h val="6.25E-2"/>
                </c:manualLayout>
              </c15:layout>
            </c:ext>
          </c:extLst>
        </c:dLbl>
      </c:pivotFmt>
      <c:pivotFmt>
        <c:idx val="7"/>
        <c:spPr>
          <a:ln w="31750" cap="rnd">
            <a:solidFill>
              <a:schemeClr val="accent1">
                <a:alpha val="85000"/>
              </a:schemeClr>
            </a:solidFill>
            <a:round/>
          </a:ln>
          <a:effectLst/>
        </c:spPr>
        <c:marker>
          <c:symbol val="none"/>
        </c:marker>
        <c:dLbl>
          <c:idx val="0"/>
          <c:layout>
            <c:manualLayout>
              <c:x val="6.9444444444444448E-2"/>
              <c:y val="6.944444444444444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Sheet3!$B$3</c:f>
              <c:strCache>
                <c:ptCount val="1"/>
                <c:pt idx="0">
                  <c:v>Total</c:v>
                </c:pt>
              </c:strCache>
            </c:strRef>
          </c:tx>
          <c:spPr>
            <a:ln w="31750" cap="rnd">
              <a:solidFill>
                <a:schemeClr val="accent1">
                  <a:alpha val="85000"/>
                </a:schemeClr>
              </a:solidFill>
              <a:round/>
            </a:ln>
            <a:effectLst/>
          </c:spPr>
          <c:marker>
            <c:symbol val="none"/>
          </c:marker>
          <c:dPt>
            <c:idx val="0"/>
            <c:marker>
              <c:symbol val="none"/>
            </c:marker>
            <c:bubble3D val="0"/>
          </c:dPt>
          <c:dPt>
            <c:idx val="1"/>
            <c:marker>
              <c:symbol val="none"/>
            </c:marker>
            <c:bubble3D val="0"/>
          </c:dPt>
          <c:dPt>
            <c:idx val="2"/>
            <c:marker>
              <c:symbol val="none"/>
            </c:marker>
            <c:bubble3D val="0"/>
          </c:dPt>
          <c:dPt>
            <c:idx val="3"/>
            <c:marker>
              <c:symbol val="none"/>
            </c:marker>
            <c:bubble3D val="0"/>
          </c:dPt>
          <c:dPt>
            <c:idx val="4"/>
            <c:marker>
              <c:symbol val="none"/>
            </c:marker>
            <c:bubble3D val="0"/>
          </c:dPt>
          <c:dPt>
            <c:idx val="5"/>
            <c:marker>
              <c:symbol val="none"/>
            </c:marker>
            <c:bubble3D val="0"/>
          </c:dPt>
          <c:dPt>
            <c:idx val="6"/>
            <c:marker>
              <c:symbol val="none"/>
            </c:marker>
            <c:bubble3D val="0"/>
          </c:dPt>
          <c:dLbls>
            <c:dLbl>
              <c:idx val="0"/>
              <c:layout>
                <c:manualLayout>
                  <c:x val="0.125"/>
                  <c:y val="-3.2407407407407426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0833333333333334"/>
                  <c:y val="5.5555555555555601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6.9444444444444448E-2"/>
                  <c:y val="6.9444444444444448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7.7777777777777779E-2"/>
                  <c:y val="3.009259259259259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50000000000001"/>
                      <c:h val="6.25E-2"/>
                    </c:manualLayout>
                  </c15:layout>
                </c:ext>
              </c:extLst>
            </c:dLbl>
            <c:dLbl>
              <c:idx val="4"/>
              <c:layout>
                <c:manualLayout>
                  <c:x val="1.1111111111111112E-2"/>
                  <c:y val="6.0185185185185182E-2"/>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8.3333333333333329E-2"/>
                  <c:y val="6.9444444444444364E-2"/>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4.1666666666666664E-2"/>
                  <c:y val="7.8703703703703706E-2"/>
                </c:manualLayout>
              </c:layout>
              <c:showLegendKey val="0"/>
              <c:showVal val="1"/>
              <c:showCatName val="0"/>
              <c:showSerName val="0"/>
              <c:showPercent val="0"/>
              <c:showBubbleSize val="0"/>
              <c:extLst>
                <c:ext xmlns:c15="http://schemas.microsoft.com/office/drawing/2012/chart" uri="{CE6537A1-D6FC-4f65-9D91-7224C49458BB}"/>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Sheet3!$A$4:$A$11</c:f>
              <c:strCache>
                <c:ptCount val="7"/>
                <c:pt idx="0">
                  <c:v>Boston</c:v>
                </c:pt>
                <c:pt idx="1">
                  <c:v>Chicago</c:v>
                </c:pt>
                <c:pt idx="2">
                  <c:v>Houston</c:v>
                </c:pt>
                <c:pt idx="3">
                  <c:v>Los Angeles</c:v>
                </c:pt>
                <c:pt idx="4">
                  <c:v>Miami</c:v>
                </c:pt>
                <c:pt idx="5">
                  <c:v>New York</c:v>
                </c:pt>
                <c:pt idx="6">
                  <c:v>Seattle</c:v>
                </c:pt>
              </c:strCache>
            </c:strRef>
          </c:cat>
          <c:val>
            <c:numRef>
              <c:f>Sheet3!$B$4:$B$11</c:f>
              <c:numCache>
                <c:formatCode>General</c:formatCode>
                <c:ptCount val="7"/>
                <c:pt idx="0">
                  <c:v>22276.020000000004</c:v>
                </c:pt>
                <c:pt idx="1">
                  <c:v>23195.26</c:v>
                </c:pt>
                <c:pt idx="2">
                  <c:v>26357.77</c:v>
                </c:pt>
                <c:pt idx="3">
                  <c:v>27180.959999999995</c:v>
                </c:pt>
                <c:pt idx="4">
                  <c:v>25269.48</c:v>
                </c:pt>
                <c:pt idx="5">
                  <c:v>23768.220000000005</c:v>
                </c:pt>
                <c:pt idx="6">
                  <c:v>28230.229999999981</c:v>
                </c:pt>
              </c:numCache>
            </c:numRef>
          </c:val>
        </c:ser>
        <c:dLbls>
          <c:showLegendKey val="0"/>
          <c:showVal val="0"/>
          <c:showCatName val="0"/>
          <c:showSerName val="0"/>
          <c:showPercent val="0"/>
          <c:showBubbleSize val="0"/>
        </c:dLbls>
        <c:axId val="293176240"/>
        <c:axId val="293180944"/>
      </c:radarChart>
      <c:catAx>
        <c:axId val="2931762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3180944"/>
        <c:crosses val="autoZero"/>
        <c:auto val="1"/>
        <c:lblAlgn val="ctr"/>
        <c:lblOffset val="100"/>
        <c:noMultiLvlLbl val="0"/>
      </c:catAx>
      <c:valAx>
        <c:axId val="2931809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crossAx val="2931762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1">
                <a:solidFill>
                  <a:srgbClr val="000000"/>
                </a:solidFill>
                <a:latin typeface="Roboto"/>
              </a:defRPr>
            </a:pPr>
            <a:r>
              <a:rPr b="1">
                <a:solidFill>
                  <a:srgbClr val="000000"/>
                </a:solidFill>
                <a:latin typeface="Roboto"/>
              </a:rPr>
              <a:t>Order Frequency Distribution</a:t>
            </a:r>
          </a:p>
        </c:rich>
      </c:tx>
      <c:overlay val="0"/>
    </c:title>
    <c:autoTitleDeleted val="0"/>
    <c:plotArea>
      <c:layout/>
      <c:barChart>
        <c:barDir val="col"/>
        <c:grouping val="clustered"/>
        <c:varyColors val="1"/>
        <c:ser>
          <c:idx val="0"/>
          <c:order val="0"/>
          <c:tx>
            <c:strRef>
              <c:f>'Pivot Table 14'!$B$1</c:f>
              <c:strCache>
                <c:ptCount val="1"/>
                <c:pt idx="0">
                  <c:v>COUNTUNIQUE of Customer ID</c:v>
                </c:pt>
              </c:strCache>
            </c:strRef>
          </c:tx>
          <c:spPr>
            <a:solidFill>
              <a:srgbClr val="741B47"/>
            </a:solidFill>
            <a:ln cmpd="sng">
              <a:solidFill>
                <a:srgbClr val="000000"/>
              </a:solidFill>
            </a:ln>
          </c:spPr>
          <c:invertIfNegative val="1"/>
          <c:cat>
            <c:numRef>
              <c:f>'Pivot Table 14'!$A$2:$A$12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'Pivot Table 14'!$B$2:$B$12</c:f>
              <c:numCache>
                <c:formatCode>General</c:formatCode>
                <c:ptCount val="10"/>
                <c:pt idx="0">
                  <c:v>24</c:v>
                </c:pt>
                <c:pt idx="1">
                  <c:v>37</c:v>
                </c:pt>
                <c:pt idx="2">
                  <c:v>42</c:v>
                </c:pt>
                <c:pt idx="3">
                  <c:v>32</c:v>
                </c:pt>
                <c:pt idx="4">
                  <c:v>34</c:v>
                </c:pt>
                <c:pt idx="5">
                  <c:v>19</c:v>
                </c:pt>
                <c:pt idx="6">
                  <c:v>4</c:v>
                </c:pt>
                <c:pt idx="7">
                  <c:v>1</c:v>
                </c:pt>
                <c:pt idx="8">
                  <c:v>2</c:v>
                </c:pt>
                <c:pt idx="9">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293181336"/>
        <c:axId val="293182512"/>
      </c:barChart>
      <c:catAx>
        <c:axId val="29318133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Orders per Customer</a:t>
                </a:r>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293182512"/>
        <c:crosses val="autoZero"/>
        <c:auto val="1"/>
        <c:lblAlgn val="ctr"/>
        <c:lblOffset val="100"/>
        <c:noMultiLvlLbl val="1"/>
      </c:catAx>
      <c:valAx>
        <c:axId val="2931825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Customer Count</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29318133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6AA84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1">
                <a:solidFill>
                  <a:srgbClr val="FFFF00"/>
                </a:solidFill>
                <a:latin typeface="Roboto"/>
              </a:defRPr>
            </a:pPr>
            <a:r>
              <a:rPr b="1">
                <a:solidFill>
                  <a:srgbClr val="FFFF00"/>
                </a:solidFill>
                <a:latin typeface="Roboto"/>
              </a:rPr>
              <a:t>Order Count vs Revenue</a:t>
            </a:r>
          </a:p>
        </c:rich>
      </c:tx>
      <c:overlay val="0"/>
    </c:title>
    <c:autoTitleDeleted val="0"/>
    <c:plotArea>
      <c:layout/>
      <c:barChart>
        <c:barDir val="col"/>
        <c:grouping val="clustered"/>
        <c:varyColors val="1"/>
        <c:ser>
          <c:idx val="0"/>
          <c:order val="0"/>
          <c:tx>
            <c:strRef>
              <c:f>'Pivot Table 12'!$B$1</c:f>
              <c:strCache>
                <c:ptCount val="1"/>
              </c:strCache>
            </c:strRef>
          </c:tx>
          <c:spPr>
            <a:solidFill>
              <a:srgbClr val="FFE599"/>
            </a:solidFill>
            <a:ln cmpd="sng">
              <a:solidFill>
                <a:schemeClr val="lt1"/>
              </a:solidFill>
            </a:ln>
          </c:spPr>
          <c:invertIfNegative val="1"/>
          <c:dPt>
            <c:idx val="0"/>
            <c:invertIfNegative val="1"/>
            <c:bubble3D val="0"/>
          </c:dPt>
          <c:dPt>
            <c:idx val="1"/>
            <c:invertIfNegative val="1"/>
            <c:bubble3D val="0"/>
          </c:dPt>
          <c:dPt>
            <c:idx val="4"/>
            <c:invertIfNegative val="1"/>
            <c:bubble3D val="0"/>
          </c:dPt>
          <c:dPt>
            <c:idx val="5"/>
            <c:invertIfNegative val="1"/>
            <c:bubble3D val="0"/>
          </c:dPt>
          <c:dPt>
            <c:idx val="10"/>
            <c:invertIfNegative val="1"/>
            <c:bubble3D val="0"/>
            <c:spPr>
              <a:solidFill>
                <a:srgbClr val="FFE599"/>
              </a:solidFill>
              <a:ln cmpd="sng">
                <a:solidFill>
                  <a:srgbClr val="FFFFFF">
                    <a:alpha val="100000"/>
                  </a:srgbClr>
                </a:solidFill>
              </a:ln>
            </c:spPr>
          </c:dPt>
          <c:cat>
            <c:strRef>
              <c:f>'Pivot Table 12'!$A$2:$A$15</c:f>
              <c:strCache>
                <c:ptCount val="13"/>
                <c:pt idx="0">
                  <c:v>01-2026</c:v>
                </c:pt>
                <c:pt idx="1">
                  <c:v>02-2025</c:v>
                </c:pt>
                <c:pt idx="2">
                  <c:v>02-2026</c:v>
                </c:pt>
                <c:pt idx="3">
                  <c:v>03-2025</c:v>
                </c:pt>
                <c:pt idx="4">
                  <c:v>04-2025</c:v>
                </c:pt>
                <c:pt idx="5">
                  <c:v>05-2025</c:v>
                </c:pt>
                <c:pt idx="6">
                  <c:v>06-2025</c:v>
                </c:pt>
                <c:pt idx="7">
                  <c:v>07-2025</c:v>
                </c:pt>
                <c:pt idx="8">
                  <c:v>08-2025</c:v>
                </c:pt>
                <c:pt idx="9">
                  <c:v>09-2025</c:v>
                </c:pt>
                <c:pt idx="10">
                  <c:v>10-2025</c:v>
                </c:pt>
                <c:pt idx="11">
                  <c:v>11-2025</c:v>
                </c:pt>
                <c:pt idx="12">
                  <c:v>12-2025</c:v>
                </c:pt>
              </c:strCache>
            </c:strRef>
          </c:cat>
          <c:val>
            <c:numRef>
              <c:f>'Pivot Table 12'!$B$2:$B$15</c:f>
              <c:numCache>
                <c:formatCode>General</c:formatCode>
                <c:ptCount val="13"/>
                <c:pt idx="0">
                  <c:v>17177.5</c:v>
                </c:pt>
                <c:pt idx="1">
                  <c:v>3732.9800000000005</c:v>
                </c:pt>
                <c:pt idx="2">
                  <c:v>8312.9699999999993</c:v>
                </c:pt>
                <c:pt idx="3">
                  <c:v>12769.799999999997</c:v>
                </c:pt>
                <c:pt idx="4">
                  <c:v>12383.85</c:v>
                </c:pt>
                <c:pt idx="5">
                  <c:v>13960.749999999996</c:v>
                </c:pt>
                <c:pt idx="6">
                  <c:v>15355.02</c:v>
                </c:pt>
                <c:pt idx="7">
                  <c:v>9662.5499999999993</c:v>
                </c:pt>
                <c:pt idx="8">
                  <c:v>20119.139999999992</c:v>
                </c:pt>
                <c:pt idx="9">
                  <c:v>14208.96</c:v>
                </c:pt>
                <c:pt idx="10">
                  <c:v>18394.510000000002</c:v>
                </c:pt>
                <c:pt idx="11">
                  <c:v>15747.239999999998</c:v>
                </c:pt>
                <c:pt idx="12">
                  <c:v>14452.669999999998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chemeClr val="lt1"/>
                    </a:solidFill>
                  </a:ln>
                </c14:spPr>
              </c14:invertSolidFillFmt>
            </c:ext>
          </c:extLst>
        </c:ser>
        <c:dLbls>
          <c:showLegendKey val="0"/>
          <c:showVal val="0"/>
          <c:showCatName val="0"/>
          <c:showSerName val="0"/>
          <c:showPercent val="0"/>
          <c:showBubbleSize val="0"/>
        </c:dLbls>
        <c:gapWidth val="150"/>
        <c:axId val="293178592"/>
        <c:axId val="293175848"/>
      </c:barChart>
      <c:lineChart>
        <c:grouping val="standard"/>
        <c:varyColors val="0"/>
        <c:ser>
          <c:idx val="1"/>
          <c:order val="1"/>
          <c:tx>
            <c:strRef>
              <c:f>'Pivot Table 12'!$C$1</c:f>
              <c:strCache>
                <c:ptCount val="1"/>
              </c:strCache>
            </c:strRef>
          </c:tx>
          <c:spPr>
            <a:ln w="19050" cmpd="sng">
              <a:solidFill>
                <a:srgbClr val="EA4335"/>
              </a:solidFill>
            </a:ln>
          </c:spPr>
          <c:marker>
            <c:symbol val="none"/>
          </c:marker>
          <c:cat>
            <c:strRef>
              <c:f>'Pivot Table 12'!$A$2:$A$15</c:f>
              <c:strCache>
                <c:ptCount val="13"/>
                <c:pt idx="0">
                  <c:v>01-2026</c:v>
                </c:pt>
                <c:pt idx="1">
                  <c:v>02-2025</c:v>
                </c:pt>
                <c:pt idx="2">
                  <c:v>02-2026</c:v>
                </c:pt>
                <c:pt idx="3">
                  <c:v>03-2025</c:v>
                </c:pt>
                <c:pt idx="4">
                  <c:v>04-2025</c:v>
                </c:pt>
                <c:pt idx="5">
                  <c:v>05-2025</c:v>
                </c:pt>
                <c:pt idx="6">
                  <c:v>06-2025</c:v>
                </c:pt>
                <c:pt idx="7">
                  <c:v>07-2025</c:v>
                </c:pt>
                <c:pt idx="8">
                  <c:v>08-2025</c:v>
                </c:pt>
                <c:pt idx="9">
                  <c:v>09-2025</c:v>
                </c:pt>
                <c:pt idx="10">
                  <c:v>10-2025</c:v>
                </c:pt>
                <c:pt idx="11">
                  <c:v>11-2025</c:v>
                </c:pt>
                <c:pt idx="12">
                  <c:v>12-2025</c:v>
                </c:pt>
              </c:strCache>
            </c:strRef>
          </c:cat>
          <c:val>
            <c:numRef>
              <c:f>'Pivot Table 12'!$C$2:$C$15</c:f>
              <c:numCache>
                <c:formatCode>General</c:formatCode>
                <c:ptCount val="13"/>
                <c:pt idx="0">
                  <c:v>64</c:v>
                </c:pt>
                <c:pt idx="1">
                  <c:v>16</c:v>
                </c:pt>
                <c:pt idx="2">
                  <c:v>39</c:v>
                </c:pt>
                <c:pt idx="3">
                  <c:v>50</c:v>
                </c:pt>
                <c:pt idx="4">
                  <c:v>51</c:v>
                </c:pt>
                <c:pt idx="5">
                  <c:v>57</c:v>
                </c:pt>
                <c:pt idx="6">
                  <c:v>64</c:v>
                </c:pt>
                <c:pt idx="7">
                  <c:v>37</c:v>
                </c:pt>
                <c:pt idx="8">
                  <c:v>77</c:v>
                </c:pt>
                <c:pt idx="9">
                  <c:v>55</c:v>
                </c:pt>
                <c:pt idx="10">
                  <c:v>72</c:v>
                </c:pt>
                <c:pt idx="11">
                  <c:v>60</c:v>
                </c:pt>
                <c:pt idx="12">
                  <c:v>58</c:v>
                </c:pt>
              </c:numCache>
            </c:numRef>
          </c:val>
          <c:smooth val="1"/>
        </c:ser>
        <c:dLbls>
          <c:showLegendKey val="0"/>
          <c:showVal val="0"/>
          <c:showCatName val="0"/>
          <c:showSerName val="0"/>
          <c:showPercent val="0"/>
          <c:showBubbleSize val="0"/>
        </c:dLbls>
        <c:marker val="1"/>
        <c:smooth val="0"/>
        <c:axId val="293176632"/>
        <c:axId val="293178200"/>
      </c:lineChart>
      <c:catAx>
        <c:axId val="293178592"/>
        <c:scaling>
          <c:orientation val="minMax"/>
        </c:scaling>
        <c:delete val="0"/>
        <c:axPos val="b"/>
        <c:title>
          <c:tx>
            <c:rich>
              <a:bodyPr/>
              <a:lstStyle/>
              <a:p>
                <a:pPr lvl="0">
                  <a:defRPr b="0">
                    <a:solidFill>
                      <a:srgbClr val="FFFFFF"/>
                    </a:solidFill>
                    <a:latin typeface="Roboto"/>
                  </a:defRPr>
                </a:pPr>
                <a:r>
                  <a:rPr b="0">
                    <a:solidFill>
                      <a:srgbClr val="FFFFFF"/>
                    </a:solidFill>
                    <a:latin typeface="Roboto"/>
                  </a:rPr>
                  <a:t>Month</a:t>
                </a:r>
              </a:p>
            </c:rich>
          </c:tx>
          <c:overlay val="0"/>
        </c:title>
        <c:numFmt formatCode="General" sourceLinked="1"/>
        <c:majorTickMark val="none"/>
        <c:minorTickMark val="none"/>
        <c:tickLblPos val="nextTo"/>
        <c:txPr>
          <a:bodyPr/>
          <a:lstStyle/>
          <a:p>
            <a:pPr lvl="0">
              <a:defRPr b="0">
                <a:solidFill>
                  <a:srgbClr val="FFFFFF"/>
                </a:solidFill>
                <a:latin typeface="Roboto"/>
              </a:defRPr>
            </a:pPr>
            <a:endParaRPr lang="en-US"/>
          </a:p>
        </c:txPr>
        <c:crossAx val="293175848"/>
        <c:crosses val="autoZero"/>
        <c:auto val="1"/>
        <c:lblAlgn val="ctr"/>
        <c:lblOffset val="100"/>
        <c:noMultiLvlLbl val="1"/>
      </c:catAx>
      <c:valAx>
        <c:axId val="2931758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chemeClr val="lt1"/>
                </a:solidFill>
                <a:latin typeface="Roboto"/>
              </a:defRPr>
            </a:pPr>
            <a:endParaRPr lang="en-US"/>
          </a:p>
        </c:txPr>
        <c:crossAx val="293178592"/>
        <c:crosses val="autoZero"/>
        <c:crossBetween val="between"/>
      </c:valAx>
      <c:catAx>
        <c:axId val="293176632"/>
        <c:scaling>
          <c:orientation val="minMax"/>
        </c:scaling>
        <c:delete val="1"/>
        <c:axPos val="b"/>
        <c:numFmt formatCode="General" sourceLinked="1"/>
        <c:majorTickMark val="none"/>
        <c:minorTickMark val="none"/>
        <c:tickLblPos val="nextTo"/>
        <c:crossAx val="293178200"/>
        <c:crosses val="autoZero"/>
        <c:auto val="1"/>
        <c:lblAlgn val="ctr"/>
        <c:lblOffset val="100"/>
        <c:noMultiLvlLbl val="1"/>
      </c:catAx>
      <c:valAx>
        <c:axId val="293178200"/>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FFFFFF"/>
                </a:solidFill>
                <a:latin typeface="Roboto"/>
              </a:defRPr>
            </a:pPr>
            <a:endParaRPr lang="en-US"/>
          </a:p>
        </c:txPr>
        <c:crossAx val="293176632"/>
        <c:crosses val="max"/>
        <c:crossBetween val="between"/>
      </c:valAx>
    </c:plotArea>
    <c:legend>
      <c:legendPos val="r"/>
      <c:overlay val="0"/>
      <c:txPr>
        <a:bodyPr/>
        <a:lstStyle/>
        <a:p>
          <a:pPr lvl="0">
            <a:defRPr b="0">
              <a:solidFill>
                <a:srgbClr val="FFFFFF"/>
              </a:solidFill>
              <a:latin typeface="Roboto"/>
            </a:defRPr>
          </a:pPr>
          <a:endParaRPr lang="en-US"/>
        </a:p>
      </c:txPr>
    </c:legend>
    <c:plotVisOnly val="1"/>
    <c:dispBlanksAs val="zero"/>
    <c:showDLblsOverMax val="1"/>
  </c:chart>
  <c:spPr>
    <a:solidFill>
      <a:srgbClr val="0000FF"/>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1">
                <a:solidFill>
                  <a:srgbClr val="D9D2E9"/>
                </a:solidFill>
                <a:latin typeface="Roboto"/>
              </a:defRPr>
            </a:pPr>
            <a:r>
              <a:rPr b="1">
                <a:solidFill>
                  <a:srgbClr val="D9D2E9"/>
                </a:solidFill>
                <a:latin typeface="Roboto"/>
              </a:rPr>
              <a:t>Sales by Category &amp; Month</a:t>
            </a:r>
          </a:p>
        </c:rich>
      </c:tx>
      <c:overlay val="0"/>
    </c:title>
    <c:autoTitleDeleted val="0"/>
    <c:plotArea>
      <c:layout/>
      <c:barChart>
        <c:barDir val="col"/>
        <c:grouping val="stacked"/>
        <c:varyColors val="1"/>
        <c:ser>
          <c:idx val="0"/>
          <c:order val="0"/>
          <c:tx>
            <c:strRef>
              <c:f>'Pivot Table 11'!$B$1:$B$2</c:f>
              <c:strCache>
                <c:ptCount val="2"/>
                <c:pt idx="0">
                  <c:v>Month</c:v>
                </c:pt>
                <c:pt idx="1">
                  <c:v>01-2026</c:v>
                </c:pt>
              </c:strCache>
            </c:strRef>
          </c:tx>
          <c:spPr>
            <a:solidFill>
              <a:srgbClr val="4285F4"/>
            </a:solidFill>
            <a:ln cmpd="sng">
              <a:solidFill>
                <a:srgbClr val="000000"/>
              </a:solidFill>
            </a:ln>
          </c:spPr>
          <c:invertIfNegative val="1"/>
          <c:cat>
            <c:strRef>
              <c:f>'Pivot Table 11'!$A$3:$A$8</c:f>
              <c:strCache>
                <c:ptCount val="5"/>
                <c:pt idx="0">
                  <c:v>Clothing</c:v>
                </c:pt>
                <c:pt idx="1">
                  <c:v>Electronics</c:v>
                </c:pt>
                <c:pt idx="2">
                  <c:v>Home</c:v>
                </c:pt>
                <c:pt idx="3">
                  <c:v>Sports</c:v>
                </c:pt>
                <c:pt idx="4">
                  <c:v>(blank)</c:v>
                </c:pt>
              </c:strCache>
            </c:strRef>
          </c:cat>
          <c:val>
            <c:numRef>
              <c:f>'Pivot Table 11'!$B$3:$B$8</c:f>
              <c:numCache>
                <c:formatCode>General</c:formatCode>
                <c:ptCount val="5"/>
                <c:pt idx="0">
                  <c:v>2447.73</c:v>
                </c:pt>
                <c:pt idx="1">
                  <c:v>3748.18</c:v>
                </c:pt>
                <c:pt idx="2">
                  <c:v>3924.44</c:v>
                </c:pt>
                <c:pt idx="3">
                  <c:v>3625.47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strRef>
              <c:f>'Pivot Table 11'!$C$1:$C$2</c:f>
              <c:strCache>
                <c:ptCount val="2"/>
                <c:pt idx="0">
                  <c:v>Month</c:v>
                </c:pt>
                <c:pt idx="1">
                  <c:v>02-2025</c:v>
                </c:pt>
              </c:strCache>
            </c:strRef>
          </c:tx>
          <c:spPr>
            <a:solidFill>
              <a:srgbClr val="EA4335"/>
            </a:solidFill>
            <a:ln cmpd="sng">
              <a:solidFill>
                <a:srgbClr val="000000"/>
              </a:solidFill>
            </a:ln>
          </c:spPr>
          <c:invertIfNegative val="1"/>
          <c:cat>
            <c:strRef>
              <c:f>'Pivot Table 11'!$A$3:$A$8</c:f>
              <c:strCache>
                <c:ptCount val="5"/>
                <c:pt idx="0">
                  <c:v>Clothing</c:v>
                </c:pt>
                <c:pt idx="1">
                  <c:v>Electronics</c:v>
                </c:pt>
                <c:pt idx="2">
                  <c:v>Home</c:v>
                </c:pt>
                <c:pt idx="3">
                  <c:v>Sports</c:v>
                </c:pt>
                <c:pt idx="4">
                  <c:v>(blank)</c:v>
                </c:pt>
              </c:strCache>
            </c:strRef>
          </c:cat>
          <c:val>
            <c:numRef>
              <c:f>'Pivot Table 11'!$C$3:$C$8</c:f>
              <c:numCache>
                <c:formatCode>General</c:formatCode>
                <c:ptCount val="5"/>
                <c:pt idx="0">
                  <c:v>509.18999999999994</c:v>
                </c:pt>
                <c:pt idx="1">
                  <c:v>1327.08</c:v>
                </c:pt>
                <c:pt idx="2">
                  <c:v>692.48</c:v>
                </c:pt>
                <c:pt idx="3">
                  <c:v>820.57999999999993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strRef>
              <c:f>'Pivot Table 11'!$D$1:$D$2</c:f>
              <c:strCache>
                <c:ptCount val="2"/>
                <c:pt idx="0">
                  <c:v>Month</c:v>
                </c:pt>
                <c:pt idx="1">
                  <c:v>02-2026</c:v>
                </c:pt>
              </c:strCache>
            </c:strRef>
          </c:tx>
          <c:spPr>
            <a:solidFill>
              <a:srgbClr val="FBBC04"/>
            </a:solidFill>
            <a:ln cmpd="sng">
              <a:solidFill>
                <a:srgbClr val="000000"/>
              </a:solidFill>
            </a:ln>
          </c:spPr>
          <c:invertIfNegative val="1"/>
          <c:cat>
            <c:strRef>
              <c:f>'Pivot Table 11'!$A$3:$A$8</c:f>
              <c:strCache>
                <c:ptCount val="5"/>
                <c:pt idx="0">
                  <c:v>Clothing</c:v>
                </c:pt>
                <c:pt idx="1">
                  <c:v>Electronics</c:v>
                </c:pt>
                <c:pt idx="2">
                  <c:v>Home</c:v>
                </c:pt>
                <c:pt idx="3">
                  <c:v>Sports</c:v>
                </c:pt>
                <c:pt idx="4">
                  <c:v>(blank)</c:v>
                </c:pt>
              </c:strCache>
            </c:strRef>
          </c:cat>
          <c:val>
            <c:numRef>
              <c:f>'Pivot Table 11'!$D$3:$D$8</c:f>
              <c:numCache>
                <c:formatCode>General</c:formatCode>
                <c:ptCount val="5"/>
                <c:pt idx="0">
                  <c:v>2079.96</c:v>
                </c:pt>
                <c:pt idx="1">
                  <c:v>395.12</c:v>
                </c:pt>
                <c:pt idx="2">
                  <c:v>1849.62</c:v>
                </c:pt>
                <c:pt idx="3">
                  <c:v>2034.94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3"/>
          <c:order val="3"/>
          <c:tx>
            <c:strRef>
              <c:f>'Pivot Table 11'!$E$1:$E$2</c:f>
              <c:strCache>
                <c:ptCount val="2"/>
                <c:pt idx="0">
                  <c:v>Month</c:v>
                </c:pt>
                <c:pt idx="1">
                  <c:v>03-2025</c:v>
                </c:pt>
              </c:strCache>
            </c:strRef>
          </c:tx>
          <c:spPr>
            <a:solidFill>
              <a:srgbClr val="34A853"/>
            </a:solidFill>
            <a:ln cmpd="sng">
              <a:solidFill>
                <a:srgbClr val="000000"/>
              </a:solidFill>
            </a:ln>
          </c:spPr>
          <c:invertIfNegative val="1"/>
          <c:cat>
            <c:strRef>
              <c:f>'Pivot Table 11'!$A$3:$A$8</c:f>
              <c:strCache>
                <c:ptCount val="5"/>
                <c:pt idx="0">
                  <c:v>Clothing</c:v>
                </c:pt>
                <c:pt idx="1">
                  <c:v>Electronics</c:v>
                </c:pt>
                <c:pt idx="2">
                  <c:v>Home</c:v>
                </c:pt>
                <c:pt idx="3">
                  <c:v>Sports</c:v>
                </c:pt>
                <c:pt idx="4">
                  <c:v>(blank)</c:v>
                </c:pt>
              </c:strCache>
            </c:strRef>
          </c:cat>
          <c:val>
            <c:numRef>
              <c:f>'Pivot Table 11'!$E$3:$E$8</c:f>
              <c:numCache>
                <c:formatCode>General</c:formatCode>
                <c:ptCount val="5"/>
                <c:pt idx="0">
                  <c:v>4303.47</c:v>
                </c:pt>
                <c:pt idx="1">
                  <c:v>3165.29</c:v>
                </c:pt>
                <c:pt idx="2">
                  <c:v>2067.31</c:v>
                </c:pt>
                <c:pt idx="3">
                  <c:v>2065.33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4"/>
          <c:order val="4"/>
          <c:tx>
            <c:strRef>
              <c:f>'Pivot Table 11'!$F$1:$F$2</c:f>
              <c:strCache>
                <c:ptCount val="2"/>
                <c:pt idx="0">
                  <c:v>Month</c:v>
                </c:pt>
                <c:pt idx="1">
                  <c:v>04-2025</c:v>
                </c:pt>
              </c:strCache>
            </c:strRef>
          </c:tx>
          <c:spPr>
            <a:solidFill>
              <a:srgbClr val="FF6D01"/>
            </a:solidFill>
            <a:ln cmpd="sng">
              <a:solidFill>
                <a:srgbClr val="000000"/>
              </a:solidFill>
            </a:ln>
          </c:spPr>
          <c:invertIfNegative val="1"/>
          <c:cat>
            <c:strRef>
              <c:f>'Pivot Table 11'!$A$3:$A$8</c:f>
              <c:strCache>
                <c:ptCount val="5"/>
                <c:pt idx="0">
                  <c:v>Clothing</c:v>
                </c:pt>
                <c:pt idx="1">
                  <c:v>Electronics</c:v>
                </c:pt>
                <c:pt idx="2">
                  <c:v>Home</c:v>
                </c:pt>
                <c:pt idx="3">
                  <c:v>Sports</c:v>
                </c:pt>
                <c:pt idx="4">
                  <c:v>(blank)</c:v>
                </c:pt>
              </c:strCache>
            </c:strRef>
          </c:cat>
          <c:val>
            <c:numRef>
              <c:f>'Pivot Table 11'!$F$3:$F$8</c:f>
              <c:numCache>
                <c:formatCode>General</c:formatCode>
                <c:ptCount val="5"/>
                <c:pt idx="0">
                  <c:v>2149.46</c:v>
                </c:pt>
                <c:pt idx="1">
                  <c:v>3420.2599999999998</c:v>
                </c:pt>
                <c:pt idx="2">
                  <c:v>2316.8599999999997</c:v>
                </c:pt>
                <c:pt idx="3">
                  <c:v>2509.9299999999994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5"/>
          <c:order val="5"/>
          <c:tx>
            <c:strRef>
              <c:f>'Pivot Table 11'!$G$1:$G$2</c:f>
              <c:strCache>
                <c:ptCount val="2"/>
                <c:pt idx="0">
                  <c:v>Month</c:v>
                </c:pt>
                <c:pt idx="1">
                  <c:v>05-2025</c:v>
                </c:pt>
              </c:strCache>
            </c:strRef>
          </c:tx>
          <c:spPr>
            <a:solidFill>
              <a:srgbClr val="46BDC6"/>
            </a:solidFill>
            <a:ln cmpd="sng">
              <a:solidFill>
                <a:srgbClr val="000000"/>
              </a:solidFill>
            </a:ln>
          </c:spPr>
          <c:invertIfNegative val="1"/>
          <c:cat>
            <c:strRef>
              <c:f>'Pivot Table 11'!$A$3:$A$8</c:f>
              <c:strCache>
                <c:ptCount val="5"/>
                <c:pt idx="0">
                  <c:v>Clothing</c:v>
                </c:pt>
                <c:pt idx="1">
                  <c:v>Electronics</c:v>
                </c:pt>
                <c:pt idx="2">
                  <c:v>Home</c:v>
                </c:pt>
                <c:pt idx="3">
                  <c:v>Sports</c:v>
                </c:pt>
                <c:pt idx="4">
                  <c:v>(blank)</c:v>
                </c:pt>
              </c:strCache>
            </c:strRef>
          </c:cat>
          <c:val>
            <c:numRef>
              <c:f>'Pivot Table 11'!$G$3:$G$8</c:f>
              <c:numCache>
                <c:formatCode>General</c:formatCode>
                <c:ptCount val="5"/>
                <c:pt idx="0">
                  <c:v>2497.9</c:v>
                </c:pt>
                <c:pt idx="1">
                  <c:v>2049.7000000000003</c:v>
                </c:pt>
                <c:pt idx="2">
                  <c:v>3089.92</c:v>
                </c:pt>
                <c:pt idx="3">
                  <c:v>3212.13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6"/>
          <c:order val="6"/>
          <c:tx>
            <c:strRef>
              <c:f>'Pivot Table 11'!$H$1:$H$2</c:f>
              <c:strCache>
                <c:ptCount val="2"/>
                <c:pt idx="0">
                  <c:v>Month</c:v>
                </c:pt>
                <c:pt idx="1">
                  <c:v>06-2025</c:v>
                </c:pt>
              </c:strCache>
            </c:strRef>
          </c:tx>
          <c:spPr>
            <a:solidFill>
              <a:srgbClr val="D3E2FC"/>
            </a:solidFill>
            <a:ln cmpd="sng">
              <a:solidFill>
                <a:srgbClr val="000000"/>
              </a:solidFill>
            </a:ln>
          </c:spPr>
          <c:invertIfNegative val="1"/>
          <c:cat>
            <c:strRef>
              <c:f>'Pivot Table 11'!$A$3:$A$8</c:f>
              <c:strCache>
                <c:ptCount val="5"/>
                <c:pt idx="0">
                  <c:v>Clothing</c:v>
                </c:pt>
                <c:pt idx="1">
                  <c:v>Electronics</c:v>
                </c:pt>
                <c:pt idx="2">
                  <c:v>Home</c:v>
                </c:pt>
                <c:pt idx="3">
                  <c:v>Sports</c:v>
                </c:pt>
                <c:pt idx="4">
                  <c:v>(blank)</c:v>
                </c:pt>
              </c:strCache>
            </c:strRef>
          </c:cat>
          <c:val>
            <c:numRef>
              <c:f>'Pivot Table 11'!$H$3:$H$8</c:f>
              <c:numCache>
                <c:formatCode>General</c:formatCode>
                <c:ptCount val="5"/>
                <c:pt idx="0">
                  <c:v>3179.13</c:v>
                </c:pt>
                <c:pt idx="1">
                  <c:v>3859.69</c:v>
                </c:pt>
                <c:pt idx="2">
                  <c:v>3040.11</c:v>
                </c:pt>
                <c:pt idx="3">
                  <c:v>2341.94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7"/>
          <c:order val="7"/>
          <c:tx>
            <c:strRef>
              <c:f>'Pivot Table 11'!$I$1:$I$2</c:f>
              <c:strCache>
                <c:ptCount val="2"/>
                <c:pt idx="0">
                  <c:v>Month</c:v>
                </c:pt>
                <c:pt idx="1">
                  <c:v>07-2025</c:v>
                </c:pt>
              </c:strCache>
            </c:strRef>
          </c:tx>
          <c:spPr>
            <a:solidFill>
              <a:srgbClr val="F8C4C0"/>
            </a:solidFill>
            <a:ln cmpd="sng">
              <a:solidFill>
                <a:srgbClr val="000000"/>
              </a:solidFill>
            </a:ln>
          </c:spPr>
          <c:invertIfNegative val="1"/>
          <c:cat>
            <c:strRef>
              <c:f>'Pivot Table 11'!$A$3:$A$8</c:f>
              <c:strCache>
                <c:ptCount val="5"/>
                <c:pt idx="0">
                  <c:v>Clothing</c:v>
                </c:pt>
                <c:pt idx="1">
                  <c:v>Electronics</c:v>
                </c:pt>
                <c:pt idx="2">
                  <c:v>Home</c:v>
                </c:pt>
                <c:pt idx="3">
                  <c:v>Sports</c:v>
                </c:pt>
                <c:pt idx="4">
                  <c:v>(blank)</c:v>
                </c:pt>
              </c:strCache>
            </c:strRef>
          </c:cat>
          <c:val>
            <c:numRef>
              <c:f>'Pivot Table 11'!$I$3:$I$8</c:f>
              <c:numCache>
                <c:formatCode>General</c:formatCode>
                <c:ptCount val="5"/>
                <c:pt idx="0">
                  <c:v>2279.4300000000003</c:v>
                </c:pt>
                <c:pt idx="1">
                  <c:v>3917.6499999999996</c:v>
                </c:pt>
                <c:pt idx="2">
                  <c:v>302.52</c:v>
                </c:pt>
                <c:pt idx="3">
                  <c:v>1147.07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8"/>
          <c:order val="8"/>
          <c:tx>
            <c:strRef>
              <c:f>'Pivot Table 11'!$J$1:$J$2</c:f>
              <c:strCache>
                <c:ptCount val="2"/>
                <c:pt idx="0">
                  <c:v>Month</c:v>
                </c:pt>
                <c:pt idx="1">
                  <c:v>08-2025</c:v>
                </c:pt>
              </c:strCache>
            </c:strRef>
          </c:tx>
          <c:spPr>
            <a:solidFill>
              <a:srgbClr val="FDE49B"/>
            </a:solidFill>
            <a:ln cmpd="sng">
              <a:solidFill>
                <a:srgbClr val="000000"/>
              </a:solidFill>
            </a:ln>
          </c:spPr>
          <c:invertIfNegative val="1"/>
          <c:cat>
            <c:strRef>
              <c:f>'Pivot Table 11'!$A$3:$A$8</c:f>
              <c:strCache>
                <c:ptCount val="5"/>
                <c:pt idx="0">
                  <c:v>Clothing</c:v>
                </c:pt>
                <c:pt idx="1">
                  <c:v>Electronics</c:v>
                </c:pt>
                <c:pt idx="2">
                  <c:v>Home</c:v>
                </c:pt>
                <c:pt idx="3">
                  <c:v>Sports</c:v>
                </c:pt>
                <c:pt idx="4">
                  <c:v>(blank)</c:v>
                </c:pt>
              </c:strCache>
            </c:strRef>
          </c:cat>
          <c:val>
            <c:numRef>
              <c:f>'Pivot Table 11'!$J$3:$J$8</c:f>
              <c:numCache>
                <c:formatCode>General</c:formatCode>
                <c:ptCount val="5"/>
                <c:pt idx="0">
                  <c:v>5068.0199999999995</c:v>
                </c:pt>
                <c:pt idx="1">
                  <c:v>4069.69</c:v>
                </c:pt>
                <c:pt idx="2">
                  <c:v>2535.48</c:v>
                </c:pt>
                <c:pt idx="3">
                  <c:v>4607.41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9"/>
          <c:order val="9"/>
          <c:tx>
            <c:strRef>
              <c:f>'Pivot Table 11'!$K$1:$K$2</c:f>
              <c:strCache>
                <c:ptCount val="2"/>
                <c:pt idx="0">
                  <c:v>Month</c:v>
                </c:pt>
                <c:pt idx="1">
                  <c:v>09-2025</c:v>
                </c:pt>
              </c:strCache>
            </c:strRef>
          </c:tx>
          <c:spPr>
            <a:solidFill>
              <a:srgbClr val="96DFAA"/>
            </a:solidFill>
            <a:ln cmpd="sng">
              <a:solidFill>
                <a:srgbClr val="000000"/>
              </a:solidFill>
            </a:ln>
          </c:spPr>
          <c:invertIfNegative val="1"/>
          <c:cat>
            <c:strRef>
              <c:f>'Pivot Table 11'!$A$3:$A$8</c:f>
              <c:strCache>
                <c:ptCount val="5"/>
                <c:pt idx="0">
                  <c:v>Clothing</c:v>
                </c:pt>
                <c:pt idx="1">
                  <c:v>Electronics</c:v>
                </c:pt>
                <c:pt idx="2">
                  <c:v>Home</c:v>
                </c:pt>
                <c:pt idx="3">
                  <c:v>Sports</c:v>
                </c:pt>
                <c:pt idx="4">
                  <c:v>(blank)</c:v>
                </c:pt>
              </c:strCache>
            </c:strRef>
          </c:cat>
          <c:val>
            <c:numRef>
              <c:f>'Pivot Table 11'!$K$3:$K$8</c:f>
              <c:numCache>
                <c:formatCode>General</c:formatCode>
                <c:ptCount val="5"/>
                <c:pt idx="0">
                  <c:v>2478.16</c:v>
                </c:pt>
                <c:pt idx="1">
                  <c:v>3710.16</c:v>
                </c:pt>
                <c:pt idx="2">
                  <c:v>2580.1</c:v>
                </c:pt>
                <c:pt idx="3">
                  <c:v>2600.4000000000005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0"/>
          <c:order val="10"/>
          <c:tx>
            <c:strRef>
              <c:f>'Pivot Table 11'!$L$1:$L$2</c:f>
              <c:strCache>
                <c:ptCount val="2"/>
                <c:pt idx="0">
                  <c:v>Month</c:v>
                </c:pt>
                <c:pt idx="1">
                  <c:v>10-2025</c:v>
                </c:pt>
              </c:strCache>
            </c:strRef>
          </c:tx>
          <c:spPr>
            <a:solidFill>
              <a:srgbClr val="FFC59A"/>
            </a:solidFill>
            <a:ln cmpd="sng">
              <a:solidFill>
                <a:srgbClr val="000000"/>
              </a:solidFill>
            </a:ln>
          </c:spPr>
          <c:invertIfNegative val="1"/>
          <c:cat>
            <c:strRef>
              <c:f>'Pivot Table 11'!$A$3:$A$8</c:f>
              <c:strCache>
                <c:ptCount val="5"/>
                <c:pt idx="0">
                  <c:v>Clothing</c:v>
                </c:pt>
                <c:pt idx="1">
                  <c:v>Electronics</c:v>
                </c:pt>
                <c:pt idx="2">
                  <c:v>Home</c:v>
                </c:pt>
                <c:pt idx="3">
                  <c:v>Sports</c:v>
                </c:pt>
                <c:pt idx="4">
                  <c:v>(blank)</c:v>
                </c:pt>
              </c:strCache>
            </c:strRef>
          </c:cat>
          <c:val>
            <c:numRef>
              <c:f>'Pivot Table 11'!$L$3:$L$8</c:f>
              <c:numCache>
                <c:formatCode>General</c:formatCode>
                <c:ptCount val="5"/>
                <c:pt idx="0">
                  <c:v>5646.2199999999993</c:v>
                </c:pt>
                <c:pt idx="1">
                  <c:v>4160.97</c:v>
                </c:pt>
                <c:pt idx="2">
                  <c:v>2452.2400000000002</c:v>
                </c:pt>
                <c:pt idx="3">
                  <c:v>3356.8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1"/>
          <c:order val="11"/>
          <c:tx>
            <c:strRef>
              <c:f>'Pivot Table 11'!$M$1:$M$2</c:f>
              <c:strCache>
                <c:ptCount val="2"/>
                <c:pt idx="0">
                  <c:v>Month</c:v>
                </c:pt>
                <c:pt idx="1">
                  <c:v>11-2025</c:v>
                </c:pt>
              </c:strCache>
            </c:strRef>
          </c:tx>
          <c:spPr>
            <a:solidFill>
              <a:srgbClr val="BBE7EA"/>
            </a:solidFill>
            <a:ln cmpd="sng">
              <a:solidFill>
                <a:srgbClr val="000000"/>
              </a:solidFill>
            </a:ln>
          </c:spPr>
          <c:invertIfNegative val="1"/>
          <c:cat>
            <c:strRef>
              <c:f>'Pivot Table 11'!$A$3:$A$8</c:f>
              <c:strCache>
                <c:ptCount val="5"/>
                <c:pt idx="0">
                  <c:v>Clothing</c:v>
                </c:pt>
                <c:pt idx="1">
                  <c:v>Electronics</c:v>
                </c:pt>
                <c:pt idx="2">
                  <c:v>Home</c:v>
                </c:pt>
                <c:pt idx="3">
                  <c:v>Sports</c:v>
                </c:pt>
                <c:pt idx="4">
                  <c:v>(blank)</c:v>
                </c:pt>
              </c:strCache>
            </c:strRef>
          </c:cat>
          <c:val>
            <c:numRef>
              <c:f>'Pivot Table 11'!$M$3:$M$8</c:f>
              <c:numCache>
                <c:formatCode>General</c:formatCode>
                <c:ptCount val="5"/>
                <c:pt idx="0">
                  <c:v>1799.69</c:v>
                </c:pt>
                <c:pt idx="1">
                  <c:v>3822.1100000000006</c:v>
                </c:pt>
                <c:pt idx="2">
                  <c:v>2681.55</c:v>
                </c:pt>
                <c:pt idx="3">
                  <c:v>3142.9900000000002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2"/>
          <c:order val="12"/>
          <c:tx>
            <c:strRef>
              <c:f>'Pivot Table 11'!$N$1:$N$2</c:f>
              <c:strCache>
                <c:ptCount val="2"/>
                <c:pt idx="0">
                  <c:v>Month</c:v>
                </c:pt>
                <c:pt idx="1">
                  <c:v>12-2025</c:v>
                </c:pt>
              </c:strCache>
            </c:strRef>
          </c:tx>
          <c:spPr>
            <a:solidFill>
              <a:srgbClr val="FFFFFF"/>
            </a:solidFill>
            <a:ln cmpd="sng">
              <a:solidFill>
                <a:srgbClr val="000000"/>
              </a:solidFill>
            </a:ln>
          </c:spPr>
          <c:invertIfNegative val="1"/>
          <c:cat>
            <c:strRef>
              <c:f>'Pivot Table 11'!$A$3:$A$8</c:f>
              <c:strCache>
                <c:ptCount val="5"/>
                <c:pt idx="0">
                  <c:v>Clothing</c:v>
                </c:pt>
                <c:pt idx="1">
                  <c:v>Electronics</c:v>
                </c:pt>
                <c:pt idx="2">
                  <c:v>Home</c:v>
                </c:pt>
                <c:pt idx="3">
                  <c:v>Sports</c:v>
                </c:pt>
                <c:pt idx="4">
                  <c:v>(blank)</c:v>
                </c:pt>
              </c:strCache>
            </c:strRef>
          </c:cat>
          <c:val>
            <c:numRef>
              <c:f>'Pivot Table 11'!$N$3:$N$8</c:f>
              <c:numCache>
                <c:formatCode>General</c:formatCode>
                <c:ptCount val="5"/>
                <c:pt idx="0">
                  <c:v>3273.57</c:v>
                </c:pt>
                <c:pt idx="1">
                  <c:v>2187.1000000000004</c:v>
                </c:pt>
                <c:pt idx="2">
                  <c:v>2618.4599999999996</c:v>
                </c:pt>
                <c:pt idx="3">
                  <c:v>3343.09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3"/>
          <c:order val="13"/>
          <c:tx>
            <c:strRef>
              <c:f>'Pivot Table 11'!$O$1:$O$2</c:f>
              <c:strCache>
                <c:ptCount val="2"/>
                <c:pt idx="0">
                  <c:v>Month</c:v>
                </c:pt>
                <c:pt idx="1">
                  <c:v>(blank)</c:v>
                </c:pt>
              </c:strCache>
            </c:strRef>
          </c:tx>
          <c:invertIfNegative val="1"/>
          <c:cat>
            <c:strRef>
              <c:f>'Pivot Table 11'!$A$3:$A$8</c:f>
              <c:strCache>
                <c:ptCount val="5"/>
                <c:pt idx="0">
                  <c:v>Clothing</c:v>
                </c:pt>
                <c:pt idx="1">
                  <c:v>Electronics</c:v>
                </c:pt>
                <c:pt idx="2">
                  <c:v>Home</c:v>
                </c:pt>
                <c:pt idx="3">
                  <c:v>Sports</c:v>
                </c:pt>
                <c:pt idx="4">
                  <c:v>(blank)</c:v>
                </c:pt>
              </c:strCache>
            </c:strRef>
          </c:cat>
          <c:val>
            <c:numRef>
              <c:f>'Pivot Table 11'!$O$3:$O$8</c:f>
              <c:numCache>
                <c:formatCode>General</c:formatCode>
                <c:ptCount val="5"/>
              </c:numCache>
            </c:numRef>
          </c:val>
        </c:ser>
        <c:dLbls>
          <c:showLegendKey val="0"/>
          <c:showVal val="0"/>
          <c:showCatName val="0"/>
          <c:showSerName val="0"/>
          <c:showPercent val="0"/>
          <c:showBubbleSize val="0"/>
        </c:dLbls>
        <c:gapWidth val="150"/>
        <c:overlap val="100"/>
        <c:axId val="293175064"/>
        <c:axId val="293175456"/>
      </c:barChart>
      <c:catAx>
        <c:axId val="293175064"/>
        <c:scaling>
          <c:orientation val="minMax"/>
        </c:scaling>
        <c:delete val="0"/>
        <c:axPos val="b"/>
        <c:title>
          <c:tx>
            <c:rich>
              <a:bodyPr/>
              <a:lstStyle/>
              <a:p>
                <a:pPr lvl="0">
                  <a:defRPr b="0">
                    <a:solidFill>
                      <a:srgbClr val="FFF2CC"/>
                    </a:solidFill>
                    <a:latin typeface="Roboto"/>
                  </a:defRPr>
                </a:pPr>
                <a:r>
                  <a:rPr b="0">
                    <a:solidFill>
                      <a:srgbClr val="FFF2CC"/>
                    </a:solidFill>
                    <a:latin typeface="Roboto"/>
                  </a:rPr>
                  <a:t>Product Category</a:t>
                </a:r>
              </a:p>
            </c:rich>
          </c:tx>
          <c:overlay val="0"/>
        </c:title>
        <c:numFmt formatCode="General" sourceLinked="1"/>
        <c:majorTickMark val="none"/>
        <c:minorTickMark val="none"/>
        <c:tickLblPos val="nextTo"/>
        <c:txPr>
          <a:bodyPr/>
          <a:lstStyle/>
          <a:p>
            <a:pPr lvl="0">
              <a:defRPr b="0">
                <a:solidFill>
                  <a:srgbClr val="FFF2CC"/>
                </a:solidFill>
                <a:latin typeface="+mn-lt"/>
              </a:defRPr>
            </a:pPr>
            <a:endParaRPr lang="en-US"/>
          </a:p>
        </c:txPr>
        <c:crossAx val="293175456"/>
        <c:crosses val="autoZero"/>
        <c:auto val="1"/>
        <c:lblAlgn val="ctr"/>
        <c:lblOffset val="100"/>
        <c:noMultiLvlLbl val="1"/>
      </c:catAx>
      <c:valAx>
        <c:axId val="2931754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2CC"/>
                    </a:solidFill>
                    <a:latin typeface="Roboto"/>
                  </a:defRPr>
                </a:pPr>
                <a:r>
                  <a:rPr b="0">
                    <a:solidFill>
                      <a:srgbClr val="FFF2CC"/>
                    </a:solidFill>
                    <a:latin typeface="Roboto"/>
                  </a:rPr>
                  <a:t>Sales</a:t>
                </a:r>
              </a:p>
            </c:rich>
          </c:tx>
          <c:overlay val="0"/>
        </c:title>
        <c:numFmt formatCode="General" sourceLinked="1"/>
        <c:majorTickMark val="none"/>
        <c:minorTickMark val="none"/>
        <c:tickLblPos val="nextTo"/>
        <c:spPr>
          <a:ln/>
        </c:spPr>
        <c:txPr>
          <a:bodyPr/>
          <a:lstStyle/>
          <a:p>
            <a:pPr lvl="0">
              <a:defRPr b="0">
                <a:solidFill>
                  <a:srgbClr val="FCE5CD"/>
                </a:solidFill>
                <a:latin typeface="+mn-lt"/>
              </a:defRPr>
            </a:pPr>
            <a:endParaRPr lang="en-US"/>
          </a:p>
        </c:txPr>
        <c:crossAx val="293175064"/>
        <c:crosses val="autoZero"/>
        <c:crossBetween val="between"/>
      </c:valAx>
    </c:plotArea>
    <c:plotVisOnly val="1"/>
    <c:dispBlanksAs val="zero"/>
    <c:showDLblsOverMax val="1"/>
  </c:chart>
  <c:spPr>
    <a:solidFill>
      <a:srgbClr val="980000"/>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1">
                <a:solidFill>
                  <a:srgbClr val="FFFFFF"/>
                </a:solidFill>
                <a:latin typeface="Roboto"/>
              </a:defRPr>
            </a:pPr>
            <a:r>
              <a:rPr b="1">
                <a:solidFill>
                  <a:srgbClr val="FFFFFF"/>
                </a:solidFill>
                <a:latin typeface="Roboto"/>
              </a:rPr>
              <a:t>Monthly Revenue Trend</a:t>
            </a:r>
          </a:p>
        </c:rich>
      </c:tx>
      <c:overlay val="0"/>
    </c:title>
    <c:autoTitleDeleted val="0"/>
    <c:plotArea>
      <c:layout/>
      <c:lineChart>
        <c:grouping val="standard"/>
        <c:varyColors val="0"/>
        <c:ser>
          <c:idx val="0"/>
          <c:order val="0"/>
          <c:tx>
            <c:strRef>
              <c:f>'Pivot Table 9'!$B$1</c:f>
              <c:strCache>
                <c:ptCount val="1"/>
                <c:pt idx="0">
                  <c:v>SUM of Purchase Amount</c:v>
                </c:pt>
              </c:strCache>
            </c:strRef>
          </c:tx>
          <c:spPr>
            <a:ln cmpd="sng">
              <a:solidFill>
                <a:srgbClr val="00FFFF">
                  <a:alpha val="100000"/>
                </a:srgbClr>
              </a:solidFill>
            </a:ln>
          </c:spPr>
          <c:marker>
            <c:symbol val="none"/>
          </c:marker>
          <c:cat>
            <c:strRef>
              <c:f>'Pivot Table 9'!$A$2:$A$15</c:f>
              <c:strCache>
                <c:ptCount val="13"/>
                <c:pt idx="0">
                  <c:v>02-2025</c:v>
                </c:pt>
                <c:pt idx="1">
                  <c:v>02-2026</c:v>
                </c:pt>
                <c:pt idx="2">
                  <c:v>03-2025</c:v>
                </c:pt>
                <c:pt idx="3">
                  <c:v>04-2025</c:v>
                </c:pt>
                <c:pt idx="4">
                  <c:v>05-2025</c:v>
                </c:pt>
                <c:pt idx="5">
                  <c:v>06-2025</c:v>
                </c:pt>
                <c:pt idx="6">
                  <c:v>07-2025</c:v>
                </c:pt>
                <c:pt idx="7">
                  <c:v>08-2025</c:v>
                </c:pt>
                <c:pt idx="8">
                  <c:v>09-2025</c:v>
                </c:pt>
                <c:pt idx="9">
                  <c:v>10-2025</c:v>
                </c:pt>
                <c:pt idx="10">
                  <c:v>11-2025</c:v>
                </c:pt>
                <c:pt idx="11">
                  <c:v>12-2025</c:v>
                </c:pt>
                <c:pt idx="12">
                  <c:v>(blank)</c:v>
                </c:pt>
              </c:strCache>
            </c:strRef>
          </c:cat>
          <c:val>
            <c:numRef>
              <c:f>'Pivot Table 9'!$B$2:$B$15</c:f>
              <c:numCache>
                <c:formatCode>General</c:formatCode>
                <c:ptCount val="13"/>
                <c:pt idx="0">
                  <c:v>3732.9800000000005</c:v>
                </c:pt>
                <c:pt idx="1">
                  <c:v>8312.9699999999993</c:v>
                </c:pt>
                <c:pt idx="2">
                  <c:v>12769.799999999997</c:v>
                </c:pt>
                <c:pt idx="3">
                  <c:v>12383.85</c:v>
                </c:pt>
                <c:pt idx="4">
                  <c:v>13960.749999999996</c:v>
                </c:pt>
                <c:pt idx="5">
                  <c:v>15355.02</c:v>
                </c:pt>
                <c:pt idx="6">
                  <c:v>9662.5499999999993</c:v>
                </c:pt>
                <c:pt idx="7">
                  <c:v>20119.139999999992</c:v>
                </c:pt>
                <c:pt idx="8">
                  <c:v>14208.96</c:v>
                </c:pt>
                <c:pt idx="9">
                  <c:v>18394.510000000002</c:v>
                </c:pt>
                <c:pt idx="10">
                  <c:v>15747.239999999998</c:v>
                </c:pt>
                <c:pt idx="11">
                  <c:v>14452.669999999998</c:v>
                </c:pt>
              </c:numCache>
            </c:numRef>
          </c:val>
          <c:smooth val="0"/>
        </c:ser>
        <c:dLbls>
          <c:showLegendKey val="0"/>
          <c:showVal val="0"/>
          <c:showCatName val="0"/>
          <c:showSerName val="0"/>
          <c:showPercent val="0"/>
          <c:showBubbleSize val="0"/>
        </c:dLbls>
        <c:smooth val="0"/>
        <c:axId val="293177416"/>
        <c:axId val="293177808"/>
      </c:lineChart>
      <c:catAx>
        <c:axId val="293177416"/>
        <c:scaling>
          <c:orientation val="minMax"/>
        </c:scaling>
        <c:delete val="0"/>
        <c:axPos val="b"/>
        <c:title>
          <c:tx>
            <c:rich>
              <a:bodyPr/>
              <a:lstStyle/>
              <a:p>
                <a:pPr lvl="0">
                  <a:defRPr b="0">
                    <a:solidFill>
                      <a:srgbClr val="FFFFFF"/>
                    </a:solidFill>
                    <a:latin typeface="Roboto"/>
                  </a:defRPr>
                </a:pPr>
                <a:r>
                  <a:rPr b="0">
                    <a:solidFill>
                      <a:srgbClr val="FFFFFF"/>
                    </a:solidFill>
                    <a:latin typeface="Roboto"/>
                  </a:rPr>
                  <a:t>Month</a:t>
                </a:r>
              </a:p>
            </c:rich>
          </c:tx>
          <c:overlay val="0"/>
        </c:title>
        <c:numFmt formatCode="General" sourceLinked="1"/>
        <c:majorTickMark val="none"/>
        <c:minorTickMark val="none"/>
        <c:tickLblPos val="nextTo"/>
        <c:txPr>
          <a:bodyPr/>
          <a:lstStyle/>
          <a:p>
            <a:pPr lvl="0">
              <a:defRPr b="0">
                <a:solidFill>
                  <a:srgbClr val="FFFFFF"/>
                </a:solidFill>
                <a:latin typeface="Roboto"/>
              </a:defRPr>
            </a:pPr>
            <a:endParaRPr lang="en-US"/>
          </a:p>
        </c:txPr>
        <c:crossAx val="293177808"/>
        <c:crosses val="autoZero"/>
        <c:auto val="1"/>
        <c:lblAlgn val="ctr"/>
        <c:lblOffset val="100"/>
        <c:noMultiLvlLbl val="1"/>
      </c:catAx>
      <c:valAx>
        <c:axId val="2931778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Roboto"/>
                  </a:defRPr>
                </a:pPr>
                <a:r>
                  <a:rPr b="0">
                    <a:solidFill>
                      <a:srgbClr val="FFFFFF"/>
                    </a:solidFill>
                    <a:latin typeface="Roboto"/>
                  </a:rPr>
                  <a:t>SUM of Purchase Amount</a:t>
                </a:r>
              </a:p>
            </c:rich>
          </c:tx>
          <c:overlay val="0"/>
        </c:title>
        <c:numFmt formatCode="General" sourceLinked="1"/>
        <c:majorTickMark val="none"/>
        <c:minorTickMark val="none"/>
        <c:tickLblPos val="nextTo"/>
        <c:spPr>
          <a:ln/>
        </c:spPr>
        <c:txPr>
          <a:bodyPr/>
          <a:lstStyle/>
          <a:p>
            <a:pPr lvl="0">
              <a:defRPr b="0">
                <a:solidFill>
                  <a:srgbClr val="FFFFFF"/>
                </a:solidFill>
                <a:latin typeface="Roboto"/>
              </a:defRPr>
            </a:pPr>
            <a:endParaRPr lang="en-US"/>
          </a:p>
        </c:txPr>
        <c:crossAx val="29317741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434343"/>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sz="2000" b="1">
                <a:solidFill>
                  <a:srgbClr val="000000"/>
                </a:solidFill>
                <a:latin typeface="Roboto"/>
              </a:defRPr>
            </a:pPr>
            <a:r>
              <a:rPr lang="en-IN" sz="2000" b="1">
                <a:solidFill>
                  <a:srgbClr val="000000"/>
                </a:solidFill>
                <a:latin typeface="Roboto"/>
              </a:rPr>
              <a:t>Top 5 Customers by Revenue</a:t>
            </a:r>
          </a:p>
        </c:rich>
      </c:tx>
      <c:layout>
        <c:manualLayout>
          <c:xMode val="edge"/>
          <c:yMode val="edge"/>
          <c:x val="2.9250000000000002E-2"/>
          <c:y val="4.7304582210242592E-2"/>
        </c:manualLayout>
      </c:layout>
      <c:overlay val="0"/>
    </c:title>
    <c:autoTitleDeleted val="0"/>
    <c:plotArea>
      <c:layout/>
      <c:barChart>
        <c:barDir val="bar"/>
        <c:grouping val="clustered"/>
        <c:varyColors val="1"/>
        <c:ser>
          <c:idx val="0"/>
          <c:order val="0"/>
          <c:tx>
            <c:strRef>
              <c:f>Top_Customers!$B$8</c:f>
              <c:strCache>
                <c:ptCount val="1"/>
                <c:pt idx="0">
                  <c:v>SUM of sum Purchase Amount</c:v>
                </c:pt>
              </c:strCache>
            </c:strRef>
          </c:tx>
          <c:spPr>
            <a:solidFill>
              <a:srgbClr val="4285F4"/>
            </a:solidFill>
            <a:ln cmpd="sng">
              <a:solidFill>
                <a:srgbClr val="000000"/>
              </a:solidFill>
            </a:ln>
          </c:spPr>
          <c:invertIfNegative val="1"/>
          <c:cat>
            <c:strRef>
              <c:f>Top_Customers!$A$9:$A$13</c:f>
              <c:strCache>
                <c:ptCount val="5"/>
                <c:pt idx="0">
                  <c:v>C006</c:v>
                </c:pt>
                <c:pt idx="1">
                  <c:v>C075</c:v>
                </c:pt>
                <c:pt idx="2">
                  <c:v>C134</c:v>
                </c:pt>
                <c:pt idx="3">
                  <c:v>C183</c:v>
                </c:pt>
                <c:pt idx="4">
                  <c:v>C199</c:v>
                </c:pt>
              </c:strCache>
            </c:strRef>
          </c:cat>
          <c:val>
            <c:numRef>
              <c:f>Top_Customers!$B$9:$B$13</c:f>
              <c:numCache>
                <c:formatCode>General</c:formatCode>
                <c:ptCount val="5"/>
                <c:pt idx="0">
                  <c:v>1982.29</c:v>
                </c:pt>
                <c:pt idx="1">
                  <c:v>2652.27</c:v>
                </c:pt>
                <c:pt idx="2">
                  <c:v>2011.9199999999901</c:v>
                </c:pt>
                <c:pt idx="3">
                  <c:v>2892.28</c:v>
                </c:pt>
                <c:pt idx="4">
                  <c:v>2515.1999999999998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293179768"/>
        <c:axId val="293180160"/>
      </c:barChart>
      <c:catAx>
        <c:axId val="293179768"/>
        <c:scaling>
          <c:orientation val="maxMin"/>
        </c:scaling>
        <c:delete val="0"/>
        <c:axPos val="l"/>
        <c:title>
          <c:tx>
            <c:rich>
              <a:bodyPr/>
              <a:lstStyle/>
              <a:p>
                <a:pPr lvl="0">
                  <a:defRPr sz="1400" b="0">
                    <a:solidFill>
                      <a:srgbClr val="000000"/>
                    </a:solidFill>
                    <a:latin typeface="Roboto"/>
                  </a:defRPr>
                </a:pPr>
                <a:r>
                  <a:rPr lang="en-IN" sz="1400" b="0">
                    <a:solidFill>
                      <a:srgbClr val="000000"/>
                    </a:solidFill>
                    <a:latin typeface="Roboto"/>
                  </a:rPr>
                  <a:t>Customer ID</a:t>
                </a:r>
              </a:p>
            </c:rich>
          </c:tx>
          <c:overlay val="0"/>
        </c:title>
        <c:numFmt formatCode="General" sourceLinked="1"/>
        <c:majorTickMark val="none"/>
        <c:minorTickMark val="none"/>
        <c:tickLblPos val="nextTo"/>
        <c:txPr>
          <a:bodyPr/>
          <a:lstStyle/>
          <a:p>
            <a:pPr lvl="0">
              <a:defRPr sz="1400" b="0">
                <a:solidFill>
                  <a:srgbClr val="000000"/>
                </a:solidFill>
                <a:latin typeface="Roboto"/>
              </a:defRPr>
            </a:pPr>
            <a:endParaRPr lang="en-US"/>
          </a:p>
        </c:txPr>
        <c:crossAx val="293180160"/>
        <c:crosses val="autoZero"/>
        <c:auto val="1"/>
        <c:lblAlgn val="ctr"/>
        <c:lblOffset val="100"/>
        <c:noMultiLvlLbl val="1"/>
      </c:catAx>
      <c:valAx>
        <c:axId val="2931801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1400" b="0">
                    <a:solidFill>
                      <a:srgbClr val="000000"/>
                    </a:solidFill>
                    <a:latin typeface="Roboto"/>
                  </a:defRPr>
                </a:pPr>
                <a:r>
                  <a:rPr lang="en-IN" sz="1400" b="0">
                    <a:solidFill>
                      <a:srgbClr val="000000"/>
                    </a:solidFill>
                    <a:latin typeface="Roboto"/>
                  </a:rPr>
                  <a:t>Total Spend</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293179768"/>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FD966"/>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lvl="0">
              <a:defRPr sz="1400" b="1">
                <a:solidFill>
                  <a:srgbClr val="000000"/>
                </a:solidFill>
                <a:latin typeface="Roboto"/>
              </a:defRPr>
            </a:pPr>
            <a:r>
              <a:rPr lang="en-IN" sz="1400" b="1">
                <a:solidFill>
                  <a:srgbClr val="000000"/>
                </a:solidFill>
                <a:latin typeface="Roboto"/>
              </a:rPr>
              <a:t>Revenue by Category</a:t>
            </a:r>
          </a:p>
        </c:rich>
      </c:tx>
      <c:layout/>
      <c:overlay val="0"/>
    </c:title>
    <c:autoTitleDeleted val="0"/>
    <c:plotArea>
      <c:layout/>
      <c:barChart>
        <c:barDir val="col"/>
        <c:grouping val="clustered"/>
        <c:varyColors val="1"/>
        <c:ser>
          <c:idx val="0"/>
          <c:order val="0"/>
          <c:tx>
            <c:strRef>
              <c:f>'Total Revenue'!$E$2</c:f>
              <c:strCache>
                <c:ptCount val="1"/>
                <c:pt idx="0">
                  <c:v>Total Revenue</c:v>
                </c:pt>
              </c:strCache>
            </c:strRef>
          </c:tx>
          <c:spPr>
            <a:solidFill>
              <a:srgbClr val="0B5394"/>
            </a:solidFill>
            <a:ln cmpd="sng">
              <a:solidFill>
                <a:srgbClr val="000000"/>
              </a:solidFill>
            </a:ln>
          </c:spPr>
          <c:invertIfNegative val="1"/>
          <c:cat>
            <c:strRef>
              <c:f>'Total Revenue'!$D$3:$D$7</c:f>
              <c:strCache>
                <c:ptCount val="5"/>
                <c:pt idx="0">
                  <c:v>Beauty</c:v>
                </c:pt>
                <c:pt idx="1">
                  <c:v>Clothing</c:v>
                </c:pt>
                <c:pt idx="2">
                  <c:v>Electronics</c:v>
                </c:pt>
                <c:pt idx="3">
                  <c:v>Home</c:v>
                </c:pt>
                <c:pt idx="4">
                  <c:v>Sports</c:v>
                </c:pt>
              </c:strCache>
            </c:strRef>
          </c:cat>
          <c:val>
            <c:numRef>
              <c:f>'Total Revenue'!$E$3:$E$7</c:f>
              <c:numCache>
                <c:formatCode>General</c:formatCode>
                <c:ptCount val="5"/>
                <c:pt idx="0">
                  <c:v>33773.839999999982</c:v>
                </c:pt>
                <c:pt idx="1">
                  <c:v>37711.93</c:v>
                </c:pt>
                <c:pt idx="2">
                  <c:v>39833</c:v>
                </c:pt>
                <c:pt idx="3">
                  <c:v>30151.089999999997</c:v>
                </c:pt>
                <c:pt idx="4">
                  <c:v>34808.080000000002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295817000"/>
        <c:axId val="295815040"/>
      </c:barChart>
      <c:catAx>
        <c:axId val="295817000"/>
        <c:scaling>
          <c:orientation val="minMax"/>
        </c:scaling>
        <c:delete val="0"/>
        <c:axPos val="b"/>
        <c:title>
          <c:tx>
            <c:rich>
              <a:bodyPr/>
              <a:lstStyle/>
              <a:p>
                <a:pPr lvl="0">
                  <a:defRPr sz="1050" b="0">
                    <a:solidFill>
                      <a:srgbClr val="000000"/>
                    </a:solidFill>
                    <a:latin typeface="+mn-lt"/>
                  </a:defRPr>
                </a:pPr>
                <a:r>
                  <a:rPr lang="en-IN" sz="1050" b="0">
                    <a:solidFill>
                      <a:srgbClr val="000000"/>
                    </a:solidFill>
                    <a:latin typeface="+mn-lt"/>
                  </a:rPr>
                  <a:t>Product Category</a:t>
                </a:r>
              </a:p>
            </c:rich>
          </c:tx>
          <c:layout/>
          <c:overlay val="0"/>
        </c:title>
        <c:numFmt formatCode="General" sourceLinked="1"/>
        <c:majorTickMark val="none"/>
        <c:minorTickMark val="none"/>
        <c:tickLblPos val="nextTo"/>
        <c:txPr>
          <a:bodyPr/>
          <a:lstStyle/>
          <a:p>
            <a:pPr lvl="0">
              <a:defRPr sz="1050" b="0">
                <a:solidFill>
                  <a:srgbClr val="000000"/>
                </a:solidFill>
                <a:latin typeface="+mn-lt"/>
              </a:defRPr>
            </a:pPr>
            <a:endParaRPr lang="en-US"/>
          </a:p>
        </c:txPr>
        <c:crossAx val="295815040"/>
        <c:crosses val="autoZero"/>
        <c:auto val="1"/>
        <c:lblAlgn val="ctr"/>
        <c:lblOffset val="100"/>
        <c:noMultiLvlLbl val="1"/>
      </c:catAx>
      <c:valAx>
        <c:axId val="2958150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100" b="0">
                    <a:solidFill>
                      <a:srgbClr val="000000"/>
                    </a:solidFill>
                    <a:latin typeface="+mn-lt"/>
                  </a:defRPr>
                </a:pPr>
                <a:r>
                  <a:rPr lang="en-IN" sz="1100" b="0">
                    <a:solidFill>
                      <a:srgbClr val="000000"/>
                    </a:solidFill>
                    <a:latin typeface="+mn-lt"/>
                  </a:rPr>
                  <a:t>Revenue</a:t>
                </a:r>
              </a:p>
            </c:rich>
          </c:tx>
          <c:layout/>
          <c:overlay val="0"/>
        </c:title>
        <c:numFmt formatCode="General" sourceLinked="1"/>
        <c:majorTickMark val="none"/>
        <c:minorTickMark val="none"/>
        <c:tickLblPos val="nextTo"/>
        <c:spPr>
          <a:ln/>
        </c:spPr>
        <c:txPr>
          <a:bodyPr/>
          <a:lstStyle/>
          <a:p>
            <a:pPr lvl="0">
              <a:defRPr sz="1050" b="0">
                <a:solidFill>
                  <a:srgbClr val="000000"/>
                </a:solidFill>
                <a:latin typeface="+mn-lt"/>
              </a:defRPr>
            </a:pPr>
            <a:endParaRPr lang="en-US"/>
          </a:p>
        </c:txPr>
        <c:crossAx val="295817000"/>
        <c:crosses val="autoZero"/>
        <c:crossBetween val="between"/>
      </c:valAx>
    </c:plotArea>
    <c:plotVisOnly val="1"/>
    <c:dispBlanksAs val="zero"/>
    <c:showDLblsOverMax val="1"/>
  </c:chart>
  <c:spPr>
    <a:solidFill>
      <a:srgbClr val="D9D2E9"/>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lvl="0">
              <a:defRPr sz="1400" b="1">
                <a:solidFill>
                  <a:srgbClr val="000000"/>
                </a:solidFill>
                <a:latin typeface="Roboto"/>
              </a:defRPr>
            </a:pPr>
            <a:r>
              <a:rPr lang="en-IN" sz="1400" b="1">
                <a:solidFill>
                  <a:srgbClr val="000000"/>
                </a:solidFill>
                <a:latin typeface="Roboto"/>
              </a:rPr>
              <a:t>Customer Type Split</a:t>
            </a:r>
          </a:p>
        </c:rich>
      </c:tx>
      <c:layout/>
      <c:overlay val="0"/>
    </c:title>
    <c:autoTitleDeleted val="0"/>
    <c:plotArea>
      <c:layout/>
      <c:doughnutChart>
        <c:varyColors val="1"/>
        <c:ser>
          <c:idx val="0"/>
          <c:order val="0"/>
          <c:tx>
            <c:strRef>
              <c:f>'Pivot Table 4'!$B$1</c:f>
              <c:strCache>
                <c:ptCount val="1"/>
                <c:pt idx="0">
                  <c:v>COUNTUNIQUE of Customer ID</c:v>
                </c:pt>
              </c:strCache>
            </c:strRef>
          </c:tx>
          <c:dPt>
            <c:idx val="0"/>
            <c:bubble3D val="0"/>
            <c:spPr>
              <a:solidFill>
                <a:srgbClr val="741B47"/>
              </a:solidFill>
            </c:spPr>
          </c:dPt>
          <c:dPt>
            <c:idx val="1"/>
            <c:bubble3D val="0"/>
            <c:spPr>
              <a:solidFill>
                <a:srgbClr val="FF9900"/>
              </a:solidFill>
            </c:spPr>
          </c:dPt>
          <c:dPt>
            <c:idx val="2"/>
            <c:bubble3D val="0"/>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15:layout/>
              </c:ext>
            </c:extLst>
          </c:dLbls>
          <c:cat>
            <c:strRef>
              <c:f>'Pivot Table 4'!$A$2:$A$4</c:f>
              <c:strCache>
                <c:ptCount val="2"/>
                <c:pt idx="0">
                  <c:v>New</c:v>
                </c:pt>
                <c:pt idx="1">
                  <c:v>Repeat</c:v>
                </c:pt>
              </c:strCache>
            </c:strRef>
          </c:cat>
          <c:val>
            <c:numRef>
              <c:f>'Pivot Table 4'!$B$2:$B$4</c:f>
              <c:numCache>
                <c:formatCode>General</c:formatCode>
                <c:ptCount val="2"/>
                <c:pt idx="0">
                  <c:v>196</c:v>
                </c:pt>
                <c:pt idx="1">
                  <c:v>172</c:v>
                </c:pt>
              </c:numCache>
            </c:numRef>
          </c:val>
        </c:ser>
        <c:dLbls>
          <c:showLegendKey val="0"/>
          <c:showVal val="1"/>
          <c:showCatName val="0"/>
          <c:showSerName val="0"/>
          <c:showPercent val="0"/>
          <c:showBubbleSize val="0"/>
          <c:showLeaderLines val="1"/>
        </c:dLbls>
        <c:firstSliceAng val="0"/>
        <c:holeSize val="50"/>
      </c:doughnutChart>
    </c:plotArea>
    <c:legend>
      <c:legendPos val="r"/>
      <c:layout/>
      <c:overlay val="0"/>
      <c:txPr>
        <a:bodyPr/>
        <a:lstStyle/>
        <a:p>
          <a:pPr lvl="0">
            <a:defRPr sz="1400" b="0">
              <a:solidFill>
                <a:srgbClr val="000000"/>
              </a:solidFill>
              <a:latin typeface="Roboto"/>
            </a:defRPr>
          </a:pPr>
          <a:endParaRPr lang="en-US"/>
        </a:p>
      </c:txPr>
    </c:legend>
    <c:plotVisOnly val="1"/>
    <c:dispBlanksAs val="zero"/>
    <c:showDLblsOverMax val="1"/>
  </c:chart>
  <c:spPr>
    <a:solidFill>
      <a:srgbClr val="F6B26B"/>
    </a:solidFill>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nchor="ctr" anchorCtr="0"/>
          <a:lstStyle/>
          <a:p>
            <a:pPr lvl="0">
              <a:defRPr sz="1400" b="1">
                <a:solidFill>
                  <a:srgbClr val="000000"/>
                </a:solidFill>
                <a:latin typeface="Roboto"/>
              </a:defRPr>
            </a:pPr>
            <a:r>
              <a:rPr lang="en-IN" sz="1400" b="1">
                <a:solidFill>
                  <a:srgbClr val="000000"/>
                </a:solidFill>
                <a:latin typeface="Roboto"/>
              </a:rPr>
              <a:t>Top 5 Customers by Revenue</a:t>
            </a:r>
          </a:p>
        </c:rich>
      </c:tx>
      <c:layout>
        <c:manualLayout>
          <c:xMode val="edge"/>
          <c:yMode val="edge"/>
          <c:x val="0.14851597678730524"/>
          <c:y val="5.2224578938702776E-2"/>
        </c:manualLayout>
      </c:layout>
      <c:overlay val="0"/>
    </c:title>
    <c:autoTitleDeleted val="0"/>
    <c:plotArea>
      <c:layout/>
      <c:barChart>
        <c:barDir val="bar"/>
        <c:grouping val="clustered"/>
        <c:varyColors val="1"/>
        <c:ser>
          <c:idx val="0"/>
          <c:order val="0"/>
          <c:tx>
            <c:strRef>
              <c:f>Top_Customers!$B$8</c:f>
              <c:strCache>
                <c:ptCount val="1"/>
                <c:pt idx="0">
                  <c:v>SUM of sum Purchase Amount</c:v>
                </c:pt>
              </c:strCache>
            </c:strRef>
          </c:tx>
          <c:spPr>
            <a:solidFill>
              <a:srgbClr val="4285F4"/>
            </a:solidFill>
            <a:ln cmpd="sng">
              <a:solidFill>
                <a:srgbClr val="000000"/>
              </a:solidFill>
            </a:ln>
          </c:spPr>
          <c:invertIfNegative val="1"/>
          <c:cat>
            <c:strRef>
              <c:f>Top_Customers!$A$9:$A$13</c:f>
              <c:strCache>
                <c:ptCount val="5"/>
                <c:pt idx="0">
                  <c:v>C006</c:v>
                </c:pt>
                <c:pt idx="1">
                  <c:v>C075</c:v>
                </c:pt>
                <c:pt idx="2">
                  <c:v>C134</c:v>
                </c:pt>
                <c:pt idx="3">
                  <c:v>C183</c:v>
                </c:pt>
                <c:pt idx="4">
                  <c:v>C199</c:v>
                </c:pt>
              </c:strCache>
            </c:strRef>
          </c:cat>
          <c:val>
            <c:numRef>
              <c:f>Top_Customers!$B$9:$B$13</c:f>
              <c:numCache>
                <c:formatCode>General</c:formatCode>
                <c:ptCount val="5"/>
                <c:pt idx="0">
                  <c:v>1982.29</c:v>
                </c:pt>
                <c:pt idx="1">
                  <c:v>2652.27</c:v>
                </c:pt>
                <c:pt idx="2">
                  <c:v>2011.9199999999901</c:v>
                </c:pt>
                <c:pt idx="3">
                  <c:v>2892.28</c:v>
                </c:pt>
                <c:pt idx="4">
                  <c:v>2515.1999999999998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295816608"/>
        <c:axId val="295822096"/>
      </c:barChart>
      <c:catAx>
        <c:axId val="295816608"/>
        <c:scaling>
          <c:orientation val="maxMin"/>
        </c:scaling>
        <c:delete val="0"/>
        <c:axPos val="l"/>
        <c:title>
          <c:tx>
            <c:rich>
              <a:bodyPr/>
              <a:lstStyle/>
              <a:p>
                <a:pPr lvl="0">
                  <a:defRPr sz="1050" b="0">
                    <a:solidFill>
                      <a:srgbClr val="000000"/>
                    </a:solidFill>
                    <a:latin typeface="Roboto"/>
                  </a:defRPr>
                </a:pPr>
                <a:r>
                  <a:rPr lang="en-IN" sz="1050" b="0">
                    <a:solidFill>
                      <a:srgbClr val="000000"/>
                    </a:solidFill>
                    <a:latin typeface="Roboto"/>
                  </a:rPr>
                  <a:t>Customer ID</a:t>
                </a:r>
              </a:p>
            </c:rich>
          </c:tx>
          <c:layout/>
          <c:overlay val="0"/>
        </c:title>
        <c:numFmt formatCode="General" sourceLinked="1"/>
        <c:majorTickMark val="none"/>
        <c:minorTickMark val="none"/>
        <c:tickLblPos val="nextTo"/>
        <c:txPr>
          <a:bodyPr/>
          <a:lstStyle/>
          <a:p>
            <a:pPr lvl="0">
              <a:defRPr sz="1200" b="0">
                <a:solidFill>
                  <a:srgbClr val="000000"/>
                </a:solidFill>
                <a:latin typeface="Roboto"/>
              </a:defRPr>
            </a:pPr>
            <a:endParaRPr lang="en-US"/>
          </a:p>
        </c:txPr>
        <c:crossAx val="295822096"/>
        <c:crosses val="autoZero"/>
        <c:auto val="1"/>
        <c:lblAlgn val="ctr"/>
        <c:lblOffset val="100"/>
        <c:noMultiLvlLbl val="1"/>
      </c:catAx>
      <c:valAx>
        <c:axId val="29582209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1050" b="0">
                    <a:solidFill>
                      <a:srgbClr val="000000"/>
                    </a:solidFill>
                    <a:latin typeface="Roboto"/>
                  </a:defRPr>
                </a:pPr>
                <a:r>
                  <a:rPr lang="en-IN" sz="1050" b="0">
                    <a:solidFill>
                      <a:srgbClr val="000000"/>
                    </a:solidFill>
                    <a:latin typeface="Roboto"/>
                  </a:rPr>
                  <a:t>Total Spend</a:t>
                </a:r>
              </a:p>
            </c:rich>
          </c:tx>
          <c:layout/>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295816608"/>
        <c:crosses val="max"/>
        <c:crossBetween val="between"/>
      </c:valAx>
    </c:plotArea>
    <c:plotVisOnly val="1"/>
    <c:dispBlanksAs val="zero"/>
    <c:showDLblsOverMax val="1"/>
  </c:chart>
  <c:spPr>
    <a:solidFill>
      <a:srgbClr val="FFD966"/>
    </a:solidFill>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lvl="0">
              <a:defRPr sz="1400" b="1">
                <a:solidFill>
                  <a:srgbClr val="FFFFFF"/>
                </a:solidFill>
                <a:latin typeface="Roboto"/>
              </a:defRPr>
            </a:pPr>
            <a:r>
              <a:rPr lang="en-IN" sz="1400" b="1">
                <a:solidFill>
                  <a:srgbClr val="FFFFFF"/>
                </a:solidFill>
                <a:latin typeface="Roboto"/>
              </a:rPr>
              <a:t>Monthly Revenue Trend</a:t>
            </a:r>
          </a:p>
        </c:rich>
      </c:tx>
      <c:layout/>
      <c:overlay val="0"/>
    </c:title>
    <c:autoTitleDeleted val="0"/>
    <c:plotArea>
      <c:layout/>
      <c:lineChart>
        <c:grouping val="standard"/>
        <c:varyColors val="0"/>
        <c:ser>
          <c:idx val="0"/>
          <c:order val="0"/>
          <c:tx>
            <c:strRef>
              <c:f>'Pivot Table 9'!$B$1</c:f>
              <c:strCache>
                <c:ptCount val="1"/>
                <c:pt idx="0">
                  <c:v>SUM of Purchase Amount</c:v>
                </c:pt>
              </c:strCache>
            </c:strRef>
          </c:tx>
          <c:spPr>
            <a:ln cmpd="sng">
              <a:solidFill>
                <a:srgbClr val="00FFFF">
                  <a:alpha val="100000"/>
                </a:srgbClr>
              </a:solidFill>
            </a:ln>
          </c:spPr>
          <c:marker>
            <c:symbol val="none"/>
          </c:marker>
          <c:cat>
            <c:strRef>
              <c:f>'Pivot Table 9'!$A$2:$A$15</c:f>
              <c:strCache>
                <c:ptCount val="13"/>
                <c:pt idx="0">
                  <c:v>02-2025</c:v>
                </c:pt>
                <c:pt idx="1">
                  <c:v>02-2026</c:v>
                </c:pt>
                <c:pt idx="2">
                  <c:v>03-2025</c:v>
                </c:pt>
                <c:pt idx="3">
                  <c:v>04-2025</c:v>
                </c:pt>
                <c:pt idx="4">
                  <c:v>05-2025</c:v>
                </c:pt>
                <c:pt idx="5">
                  <c:v>06-2025</c:v>
                </c:pt>
                <c:pt idx="6">
                  <c:v>07-2025</c:v>
                </c:pt>
                <c:pt idx="7">
                  <c:v>08-2025</c:v>
                </c:pt>
                <c:pt idx="8">
                  <c:v>09-2025</c:v>
                </c:pt>
                <c:pt idx="9">
                  <c:v>10-2025</c:v>
                </c:pt>
                <c:pt idx="10">
                  <c:v>11-2025</c:v>
                </c:pt>
                <c:pt idx="11">
                  <c:v>12-2025</c:v>
                </c:pt>
                <c:pt idx="12">
                  <c:v>(blank)</c:v>
                </c:pt>
              </c:strCache>
            </c:strRef>
          </c:cat>
          <c:val>
            <c:numRef>
              <c:f>'Pivot Table 9'!$B$2:$B$15</c:f>
              <c:numCache>
                <c:formatCode>General</c:formatCode>
                <c:ptCount val="13"/>
                <c:pt idx="0">
                  <c:v>3732.9800000000005</c:v>
                </c:pt>
                <c:pt idx="1">
                  <c:v>8312.9699999999993</c:v>
                </c:pt>
                <c:pt idx="2">
                  <c:v>12769.799999999997</c:v>
                </c:pt>
                <c:pt idx="3">
                  <c:v>12383.85</c:v>
                </c:pt>
                <c:pt idx="4">
                  <c:v>13960.749999999996</c:v>
                </c:pt>
                <c:pt idx="5">
                  <c:v>15355.02</c:v>
                </c:pt>
                <c:pt idx="6">
                  <c:v>9662.5499999999993</c:v>
                </c:pt>
                <c:pt idx="7">
                  <c:v>20119.139999999992</c:v>
                </c:pt>
                <c:pt idx="8">
                  <c:v>14208.96</c:v>
                </c:pt>
                <c:pt idx="9">
                  <c:v>18394.510000000002</c:v>
                </c:pt>
                <c:pt idx="10">
                  <c:v>15747.239999999998</c:v>
                </c:pt>
                <c:pt idx="11">
                  <c:v>14452.669999999998</c:v>
                </c:pt>
              </c:numCache>
            </c:numRef>
          </c:val>
          <c:smooth val="0"/>
        </c:ser>
        <c:dLbls>
          <c:showLegendKey val="0"/>
          <c:showVal val="0"/>
          <c:showCatName val="0"/>
          <c:showSerName val="0"/>
          <c:showPercent val="0"/>
          <c:showBubbleSize val="0"/>
        </c:dLbls>
        <c:smooth val="0"/>
        <c:axId val="295818176"/>
        <c:axId val="295817392"/>
      </c:lineChart>
      <c:catAx>
        <c:axId val="295818176"/>
        <c:scaling>
          <c:orientation val="minMax"/>
        </c:scaling>
        <c:delete val="0"/>
        <c:axPos val="b"/>
        <c:title>
          <c:tx>
            <c:rich>
              <a:bodyPr/>
              <a:lstStyle/>
              <a:p>
                <a:pPr lvl="0">
                  <a:defRPr b="0">
                    <a:solidFill>
                      <a:srgbClr val="FFFFFF"/>
                    </a:solidFill>
                    <a:latin typeface="Roboto"/>
                  </a:defRPr>
                </a:pPr>
                <a:r>
                  <a:rPr lang="en-IN" b="0">
                    <a:solidFill>
                      <a:srgbClr val="FFFFFF"/>
                    </a:solidFill>
                    <a:latin typeface="Roboto"/>
                  </a:rPr>
                  <a:t>Month</a:t>
                </a:r>
              </a:p>
            </c:rich>
          </c:tx>
          <c:layout/>
          <c:overlay val="0"/>
        </c:title>
        <c:numFmt formatCode="General" sourceLinked="1"/>
        <c:majorTickMark val="none"/>
        <c:minorTickMark val="none"/>
        <c:tickLblPos val="nextTo"/>
        <c:txPr>
          <a:bodyPr/>
          <a:lstStyle/>
          <a:p>
            <a:pPr lvl="0">
              <a:defRPr b="0">
                <a:solidFill>
                  <a:srgbClr val="FFFFFF"/>
                </a:solidFill>
                <a:latin typeface="Roboto"/>
              </a:defRPr>
            </a:pPr>
            <a:endParaRPr lang="en-US"/>
          </a:p>
        </c:txPr>
        <c:crossAx val="295817392"/>
        <c:crosses val="autoZero"/>
        <c:auto val="1"/>
        <c:lblAlgn val="ctr"/>
        <c:lblOffset val="100"/>
        <c:noMultiLvlLbl val="1"/>
      </c:catAx>
      <c:valAx>
        <c:axId val="295817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Roboto"/>
                  </a:defRPr>
                </a:pPr>
                <a:r>
                  <a:rPr lang="en-IN" b="0">
                    <a:solidFill>
                      <a:srgbClr val="FFFFFF"/>
                    </a:solidFill>
                    <a:latin typeface="Roboto"/>
                  </a:rPr>
                  <a:t>Revenue</a:t>
                </a:r>
              </a:p>
            </c:rich>
          </c:tx>
          <c:layout/>
          <c:overlay val="0"/>
        </c:title>
        <c:numFmt formatCode="General" sourceLinked="1"/>
        <c:majorTickMark val="none"/>
        <c:minorTickMark val="none"/>
        <c:tickLblPos val="nextTo"/>
        <c:spPr>
          <a:ln/>
        </c:spPr>
        <c:txPr>
          <a:bodyPr/>
          <a:lstStyle/>
          <a:p>
            <a:pPr lvl="0">
              <a:defRPr b="0">
                <a:solidFill>
                  <a:srgbClr val="FFFFFF"/>
                </a:solidFill>
                <a:latin typeface="Roboto"/>
              </a:defRPr>
            </a:pPr>
            <a:endParaRPr lang="en-US"/>
          </a:p>
        </c:txPr>
        <c:crossAx val="295818176"/>
        <c:crosses val="autoZero"/>
        <c:crossBetween val="between"/>
      </c:valAx>
    </c:plotArea>
    <c:plotVisOnly val="1"/>
    <c:dispBlanksAs val="zero"/>
    <c:showDLblsOverMax val="1"/>
  </c:chart>
  <c:spPr>
    <a:solidFill>
      <a:srgbClr val="434343"/>
    </a:solidFill>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lvl="0">
              <a:defRPr sz="1400" b="1">
                <a:solidFill>
                  <a:srgbClr val="FFFF00"/>
                </a:solidFill>
                <a:latin typeface="Roboto"/>
              </a:defRPr>
            </a:pPr>
            <a:r>
              <a:rPr lang="en-IN" sz="1400" b="1">
                <a:solidFill>
                  <a:srgbClr val="FFFF00"/>
                </a:solidFill>
                <a:latin typeface="Roboto"/>
              </a:rPr>
              <a:t>Order Count vs Revenue</a:t>
            </a:r>
          </a:p>
        </c:rich>
      </c:tx>
      <c:layout/>
      <c:overlay val="0"/>
    </c:title>
    <c:autoTitleDeleted val="0"/>
    <c:plotArea>
      <c:layout/>
      <c:barChart>
        <c:barDir val="col"/>
        <c:grouping val="clustered"/>
        <c:varyColors val="1"/>
        <c:ser>
          <c:idx val="0"/>
          <c:order val="0"/>
          <c:tx>
            <c:strRef>
              <c:f>'Pivot Table 12'!$B$1</c:f>
              <c:strCache>
                <c:ptCount val="1"/>
              </c:strCache>
            </c:strRef>
          </c:tx>
          <c:spPr>
            <a:solidFill>
              <a:srgbClr val="FFE599"/>
            </a:solidFill>
            <a:ln cmpd="sng">
              <a:solidFill>
                <a:schemeClr val="lt1"/>
              </a:solidFill>
            </a:ln>
          </c:spPr>
          <c:invertIfNegative val="1"/>
          <c:dPt>
            <c:idx val="0"/>
            <c:invertIfNegative val="1"/>
            <c:bubble3D val="0"/>
          </c:dPt>
          <c:dPt>
            <c:idx val="1"/>
            <c:invertIfNegative val="1"/>
            <c:bubble3D val="0"/>
          </c:dPt>
          <c:dPt>
            <c:idx val="4"/>
            <c:invertIfNegative val="1"/>
            <c:bubble3D val="0"/>
          </c:dPt>
          <c:dPt>
            <c:idx val="5"/>
            <c:invertIfNegative val="1"/>
            <c:bubble3D val="0"/>
          </c:dPt>
          <c:dPt>
            <c:idx val="10"/>
            <c:invertIfNegative val="1"/>
            <c:bubble3D val="0"/>
            <c:spPr>
              <a:solidFill>
                <a:srgbClr val="FFE599"/>
              </a:solidFill>
              <a:ln cmpd="sng">
                <a:solidFill>
                  <a:srgbClr val="FFFFFF">
                    <a:alpha val="100000"/>
                  </a:srgbClr>
                </a:solidFill>
              </a:ln>
            </c:spPr>
          </c:dPt>
          <c:cat>
            <c:strRef>
              <c:f>'Pivot Table 12'!$A$2:$A$15</c:f>
              <c:strCache>
                <c:ptCount val="13"/>
                <c:pt idx="0">
                  <c:v>01-2026</c:v>
                </c:pt>
                <c:pt idx="1">
                  <c:v>02-2025</c:v>
                </c:pt>
                <c:pt idx="2">
                  <c:v>02-2026</c:v>
                </c:pt>
                <c:pt idx="3">
                  <c:v>03-2025</c:v>
                </c:pt>
                <c:pt idx="4">
                  <c:v>04-2025</c:v>
                </c:pt>
                <c:pt idx="5">
                  <c:v>05-2025</c:v>
                </c:pt>
                <c:pt idx="6">
                  <c:v>06-2025</c:v>
                </c:pt>
                <c:pt idx="7">
                  <c:v>07-2025</c:v>
                </c:pt>
                <c:pt idx="8">
                  <c:v>08-2025</c:v>
                </c:pt>
                <c:pt idx="9">
                  <c:v>09-2025</c:v>
                </c:pt>
                <c:pt idx="10">
                  <c:v>10-2025</c:v>
                </c:pt>
                <c:pt idx="11">
                  <c:v>11-2025</c:v>
                </c:pt>
                <c:pt idx="12">
                  <c:v>12-2025</c:v>
                </c:pt>
              </c:strCache>
            </c:strRef>
          </c:cat>
          <c:val>
            <c:numRef>
              <c:f>'Pivot Table 12'!$B$2:$B$15</c:f>
              <c:numCache>
                <c:formatCode>General</c:formatCode>
                <c:ptCount val="13"/>
                <c:pt idx="0">
                  <c:v>17177.5</c:v>
                </c:pt>
                <c:pt idx="1">
                  <c:v>3732.9800000000005</c:v>
                </c:pt>
                <c:pt idx="2">
                  <c:v>8312.9699999999993</c:v>
                </c:pt>
                <c:pt idx="3">
                  <c:v>12769.799999999997</c:v>
                </c:pt>
                <c:pt idx="4">
                  <c:v>12383.85</c:v>
                </c:pt>
                <c:pt idx="5">
                  <c:v>13960.749999999996</c:v>
                </c:pt>
                <c:pt idx="6">
                  <c:v>15355.02</c:v>
                </c:pt>
                <c:pt idx="7">
                  <c:v>9662.5499999999993</c:v>
                </c:pt>
                <c:pt idx="8">
                  <c:v>20119.139999999992</c:v>
                </c:pt>
                <c:pt idx="9">
                  <c:v>14208.96</c:v>
                </c:pt>
                <c:pt idx="10">
                  <c:v>18394.510000000002</c:v>
                </c:pt>
                <c:pt idx="11">
                  <c:v>15747.239999999998</c:v>
                </c:pt>
                <c:pt idx="12">
                  <c:v>14452.669999999998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chemeClr val="lt1"/>
                    </a:solidFill>
                  </a:ln>
                </c14:spPr>
              </c14:invertSolidFillFmt>
            </c:ext>
          </c:extLst>
        </c:ser>
        <c:dLbls>
          <c:showLegendKey val="0"/>
          <c:showVal val="0"/>
          <c:showCatName val="0"/>
          <c:showSerName val="0"/>
          <c:showPercent val="0"/>
          <c:showBubbleSize val="0"/>
        </c:dLbls>
        <c:gapWidth val="150"/>
        <c:axId val="295820136"/>
        <c:axId val="295821312"/>
      </c:barChart>
      <c:lineChart>
        <c:grouping val="standard"/>
        <c:varyColors val="0"/>
        <c:ser>
          <c:idx val="1"/>
          <c:order val="1"/>
          <c:tx>
            <c:strRef>
              <c:f>'Pivot Table 12'!$C$1</c:f>
              <c:strCache>
                <c:ptCount val="1"/>
              </c:strCache>
            </c:strRef>
          </c:tx>
          <c:spPr>
            <a:ln w="19050" cmpd="sng">
              <a:solidFill>
                <a:srgbClr val="EA4335"/>
              </a:solidFill>
            </a:ln>
          </c:spPr>
          <c:marker>
            <c:symbol val="none"/>
          </c:marker>
          <c:cat>
            <c:strRef>
              <c:f>'Pivot Table 12'!$A$2:$A$15</c:f>
              <c:strCache>
                <c:ptCount val="13"/>
                <c:pt idx="0">
                  <c:v>01-2026</c:v>
                </c:pt>
                <c:pt idx="1">
                  <c:v>02-2025</c:v>
                </c:pt>
                <c:pt idx="2">
                  <c:v>02-2026</c:v>
                </c:pt>
                <c:pt idx="3">
                  <c:v>03-2025</c:v>
                </c:pt>
                <c:pt idx="4">
                  <c:v>04-2025</c:v>
                </c:pt>
                <c:pt idx="5">
                  <c:v>05-2025</c:v>
                </c:pt>
                <c:pt idx="6">
                  <c:v>06-2025</c:v>
                </c:pt>
                <c:pt idx="7">
                  <c:v>07-2025</c:v>
                </c:pt>
                <c:pt idx="8">
                  <c:v>08-2025</c:v>
                </c:pt>
                <c:pt idx="9">
                  <c:v>09-2025</c:v>
                </c:pt>
                <c:pt idx="10">
                  <c:v>10-2025</c:v>
                </c:pt>
                <c:pt idx="11">
                  <c:v>11-2025</c:v>
                </c:pt>
                <c:pt idx="12">
                  <c:v>12-2025</c:v>
                </c:pt>
              </c:strCache>
            </c:strRef>
          </c:cat>
          <c:val>
            <c:numRef>
              <c:f>'Pivot Table 12'!$C$2:$C$15</c:f>
              <c:numCache>
                <c:formatCode>General</c:formatCode>
                <c:ptCount val="13"/>
                <c:pt idx="0">
                  <c:v>64</c:v>
                </c:pt>
                <c:pt idx="1">
                  <c:v>16</c:v>
                </c:pt>
                <c:pt idx="2">
                  <c:v>39</c:v>
                </c:pt>
                <c:pt idx="3">
                  <c:v>50</c:v>
                </c:pt>
                <c:pt idx="4">
                  <c:v>51</c:v>
                </c:pt>
                <c:pt idx="5">
                  <c:v>57</c:v>
                </c:pt>
                <c:pt idx="6">
                  <c:v>64</c:v>
                </c:pt>
                <c:pt idx="7">
                  <c:v>37</c:v>
                </c:pt>
                <c:pt idx="8">
                  <c:v>77</c:v>
                </c:pt>
                <c:pt idx="9">
                  <c:v>55</c:v>
                </c:pt>
                <c:pt idx="10">
                  <c:v>72</c:v>
                </c:pt>
                <c:pt idx="11">
                  <c:v>60</c:v>
                </c:pt>
                <c:pt idx="12">
                  <c:v>58</c:v>
                </c:pt>
              </c:numCache>
            </c:numRef>
          </c:val>
          <c:smooth val="1"/>
        </c:ser>
        <c:dLbls>
          <c:showLegendKey val="0"/>
          <c:showVal val="0"/>
          <c:showCatName val="0"/>
          <c:showSerName val="0"/>
          <c:showPercent val="0"/>
          <c:showBubbleSize val="0"/>
        </c:dLbls>
        <c:marker val="1"/>
        <c:smooth val="0"/>
        <c:axId val="295815824"/>
        <c:axId val="295821704"/>
      </c:lineChart>
      <c:catAx>
        <c:axId val="295820136"/>
        <c:scaling>
          <c:orientation val="minMax"/>
        </c:scaling>
        <c:delete val="0"/>
        <c:axPos val="b"/>
        <c:title>
          <c:tx>
            <c:rich>
              <a:bodyPr/>
              <a:lstStyle/>
              <a:p>
                <a:pPr lvl="0">
                  <a:defRPr b="0">
                    <a:solidFill>
                      <a:srgbClr val="FFFFFF"/>
                    </a:solidFill>
                    <a:latin typeface="Roboto"/>
                  </a:defRPr>
                </a:pPr>
                <a:r>
                  <a:rPr lang="en-IN" b="0">
                    <a:solidFill>
                      <a:srgbClr val="FFFFFF"/>
                    </a:solidFill>
                    <a:latin typeface="Roboto"/>
                  </a:rPr>
                  <a:t>Month</a:t>
                </a:r>
              </a:p>
            </c:rich>
          </c:tx>
          <c:layout/>
          <c:overlay val="0"/>
        </c:title>
        <c:numFmt formatCode="General" sourceLinked="1"/>
        <c:majorTickMark val="none"/>
        <c:minorTickMark val="none"/>
        <c:tickLblPos val="nextTo"/>
        <c:txPr>
          <a:bodyPr/>
          <a:lstStyle/>
          <a:p>
            <a:pPr lvl="0">
              <a:defRPr b="0">
                <a:solidFill>
                  <a:srgbClr val="FFFFFF"/>
                </a:solidFill>
                <a:latin typeface="Roboto"/>
              </a:defRPr>
            </a:pPr>
            <a:endParaRPr lang="en-US"/>
          </a:p>
        </c:txPr>
        <c:crossAx val="295821312"/>
        <c:crosses val="autoZero"/>
        <c:auto val="1"/>
        <c:lblAlgn val="ctr"/>
        <c:lblOffset val="100"/>
        <c:noMultiLvlLbl val="1"/>
      </c:catAx>
      <c:valAx>
        <c:axId val="295821312"/>
        <c:scaling>
          <c:orientation val="minMax"/>
        </c:scaling>
        <c:delete val="0"/>
        <c:axPos val="l"/>
        <c:majorGridlines>
          <c:spPr>
            <a:ln>
              <a:solidFill>
                <a:srgbClr val="B7B7B7"/>
              </a:solidFill>
            </a:ln>
          </c:spPr>
        </c:majorGridlines>
        <c:minorGridlines>
          <c:spPr>
            <a:ln>
              <a:solidFill>
                <a:srgbClr val="CCCCCC"/>
              </a:solidFill>
            </a:ln>
          </c:spPr>
        </c:minorGridlines>
        <c:title>
          <c:tx>
            <c:rich>
              <a:bodyPr/>
              <a:lstStyle/>
              <a:p>
                <a:pPr lvl="0">
                  <a:defRPr b="0">
                    <a:solidFill>
                      <a:srgbClr val="000000"/>
                    </a:solidFill>
                    <a:latin typeface="+mn-lt"/>
                  </a:defRPr>
                </a:pPr>
                <a:endParaRPr lang="en-IN"/>
              </a:p>
            </c:rich>
          </c:tx>
          <c:layout/>
          <c:overlay val="0"/>
        </c:title>
        <c:numFmt formatCode="General" sourceLinked="1"/>
        <c:majorTickMark val="none"/>
        <c:minorTickMark val="none"/>
        <c:tickLblPos val="nextTo"/>
        <c:spPr>
          <a:ln/>
        </c:spPr>
        <c:txPr>
          <a:bodyPr/>
          <a:lstStyle/>
          <a:p>
            <a:pPr lvl="0">
              <a:defRPr b="0">
                <a:solidFill>
                  <a:schemeClr val="lt1"/>
                </a:solidFill>
                <a:latin typeface="Roboto"/>
              </a:defRPr>
            </a:pPr>
            <a:endParaRPr lang="en-US"/>
          </a:p>
        </c:txPr>
        <c:crossAx val="295820136"/>
        <c:crosses val="autoZero"/>
        <c:crossBetween val="between"/>
      </c:valAx>
      <c:catAx>
        <c:axId val="295815824"/>
        <c:scaling>
          <c:orientation val="minMax"/>
        </c:scaling>
        <c:delete val="1"/>
        <c:axPos val="b"/>
        <c:numFmt formatCode="General" sourceLinked="1"/>
        <c:majorTickMark val="none"/>
        <c:minorTickMark val="none"/>
        <c:tickLblPos val="nextTo"/>
        <c:crossAx val="295821704"/>
        <c:crosses val="autoZero"/>
        <c:auto val="1"/>
        <c:lblAlgn val="ctr"/>
        <c:lblOffset val="100"/>
        <c:noMultiLvlLbl val="1"/>
      </c:catAx>
      <c:valAx>
        <c:axId val="295821704"/>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layout/>
          <c:overlay val="0"/>
        </c:title>
        <c:numFmt formatCode="General" sourceLinked="1"/>
        <c:majorTickMark val="none"/>
        <c:minorTickMark val="none"/>
        <c:tickLblPos val="nextTo"/>
        <c:spPr>
          <a:ln/>
        </c:spPr>
        <c:txPr>
          <a:bodyPr/>
          <a:lstStyle/>
          <a:p>
            <a:pPr lvl="0">
              <a:defRPr b="0">
                <a:solidFill>
                  <a:srgbClr val="FFFFFF"/>
                </a:solidFill>
                <a:latin typeface="Roboto"/>
              </a:defRPr>
            </a:pPr>
            <a:endParaRPr lang="en-US"/>
          </a:p>
        </c:txPr>
        <c:crossAx val="295815824"/>
        <c:crosses val="max"/>
        <c:crossBetween val="between"/>
      </c:valAx>
    </c:plotArea>
    <c:legend>
      <c:legendPos val="t"/>
      <c:layout/>
      <c:overlay val="0"/>
    </c:legend>
    <c:plotVisOnly val="1"/>
    <c:dispBlanksAs val="zero"/>
    <c:showDLblsOverMax val="1"/>
  </c:chart>
  <c:spPr>
    <a:solidFill>
      <a:srgbClr val="0000FF"/>
    </a:solidFill>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lvl="0">
              <a:defRPr sz="1400" b="1">
                <a:solidFill>
                  <a:srgbClr val="000000"/>
                </a:solidFill>
                <a:latin typeface="Roboto"/>
              </a:defRPr>
            </a:pPr>
            <a:r>
              <a:rPr lang="en-IN" sz="1400" b="1">
                <a:solidFill>
                  <a:srgbClr val="000000"/>
                </a:solidFill>
                <a:latin typeface="Roboto"/>
              </a:rPr>
              <a:t>Order Frequency Distribution</a:t>
            </a:r>
          </a:p>
        </c:rich>
      </c:tx>
      <c:layout/>
      <c:overlay val="0"/>
    </c:title>
    <c:autoTitleDeleted val="0"/>
    <c:plotArea>
      <c:layout/>
      <c:barChart>
        <c:barDir val="bar"/>
        <c:grouping val="clustered"/>
        <c:varyColors val="1"/>
        <c:ser>
          <c:idx val="0"/>
          <c:order val="0"/>
          <c:tx>
            <c:strRef>
              <c:f>'Pivot Table 14'!$B$1</c:f>
              <c:strCache>
                <c:ptCount val="1"/>
                <c:pt idx="0">
                  <c:v>COUNTUNIQUE of Customer ID</c:v>
                </c:pt>
              </c:strCache>
            </c:strRef>
          </c:tx>
          <c:spPr>
            <a:solidFill>
              <a:srgbClr val="741B47"/>
            </a:solidFill>
            <a:ln cmpd="sng">
              <a:solidFill>
                <a:srgbClr val="000000"/>
              </a:solidFill>
            </a:ln>
          </c:spPr>
          <c:invertIfNegative val="1"/>
          <c:cat>
            <c:numRef>
              <c:f>'Pivot Table 14'!$A$2:$A$12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'Pivot Table 14'!$B$2:$B$12</c:f>
              <c:numCache>
                <c:formatCode>General</c:formatCode>
                <c:ptCount val="10"/>
                <c:pt idx="0">
                  <c:v>24</c:v>
                </c:pt>
                <c:pt idx="1">
                  <c:v>37</c:v>
                </c:pt>
                <c:pt idx="2">
                  <c:v>42</c:v>
                </c:pt>
                <c:pt idx="3">
                  <c:v>32</c:v>
                </c:pt>
                <c:pt idx="4">
                  <c:v>34</c:v>
                </c:pt>
                <c:pt idx="5">
                  <c:v>19</c:v>
                </c:pt>
                <c:pt idx="6">
                  <c:v>4</c:v>
                </c:pt>
                <c:pt idx="7">
                  <c:v>1</c:v>
                </c:pt>
                <c:pt idx="8">
                  <c:v>2</c:v>
                </c:pt>
                <c:pt idx="9">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295817784"/>
        <c:axId val="295818568"/>
      </c:barChart>
      <c:catAx>
        <c:axId val="295817784"/>
        <c:scaling>
          <c:orientation val="maxMin"/>
        </c:scaling>
        <c:delete val="0"/>
        <c:axPos val="l"/>
        <c:title>
          <c:tx>
            <c:rich>
              <a:bodyPr/>
              <a:lstStyle/>
              <a:p>
                <a:pPr lvl="0">
                  <a:defRPr b="0">
                    <a:solidFill>
                      <a:srgbClr val="000000"/>
                    </a:solidFill>
                    <a:latin typeface="Roboto"/>
                  </a:defRPr>
                </a:pPr>
                <a:r>
                  <a:rPr lang="en-IN" b="0">
                    <a:solidFill>
                      <a:srgbClr val="000000"/>
                    </a:solidFill>
                    <a:latin typeface="Roboto"/>
                  </a:rPr>
                  <a:t>Orders per Customer</a:t>
                </a:r>
              </a:p>
            </c:rich>
          </c:tx>
          <c:layout/>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295818568"/>
        <c:crosses val="autoZero"/>
        <c:auto val="1"/>
        <c:lblAlgn val="ctr"/>
        <c:lblOffset val="100"/>
        <c:noMultiLvlLbl val="1"/>
      </c:catAx>
      <c:valAx>
        <c:axId val="29581856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lang="en-IN" b="0">
                    <a:solidFill>
                      <a:srgbClr val="000000"/>
                    </a:solidFill>
                    <a:latin typeface="Roboto"/>
                  </a:rPr>
                  <a:t>Customer Count</a:t>
                </a:r>
              </a:p>
            </c:rich>
          </c:tx>
          <c:layout/>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295817784"/>
        <c:crosses val="max"/>
        <c:crossBetween val="between"/>
      </c:valAx>
    </c:plotArea>
    <c:plotVisOnly val="1"/>
    <c:dispBlanksAs val="zero"/>
    <c:showDLblsOverMax val="1"/>
  </c:chart>
  <c:spPr>
    <a:solidFill>
      <a:srgbClr val="6AA84F"/>
    </a:solidFill>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[E-Commerce-Customer-Insights-Dashboard.xlsx]Sheet2!PivotTable2</c:name>
    <c:fmtId val="15"/>
  </c:pivotSource>
  <c:chart>
    <c:title>
      <c:tx>
        <c:rich>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Roboto"/>
                <a:ea typeface="+mn-ea"/>
                <a:cs typeface="+mn-cs"/>
              </a:defRPr>
            </a:pPr>
            <a:r>
              <a:rPr lang="en-IN" b="1">
                <a:solidFill>
                  <a:schemeClr val="accent2">
                    <a:lumMod val="20000"/>
                    <a:lumOff val="80000"/>
                  </a:schemeClr>
                </a:solidFill>
                <a:latin typeface="Roboto"/>
              </a:rPr>
              <a:t>Sales</a:t>
            </a:r>
            <a:r>
              <a:rPr lang="en-IN" b="1" baseline="0">
                <a:solidFill>
                  <a:schemeClr val="accent2">
                    <a:lumMod val="20000"/>
                    <a:lumOff val="80000"/>
                  </a:schemeClr>
                </a:solidFill>
                <a:latin typeface="Roboto"/>
              </a:rPr>
              <a:t> by Category &amp; Month</a:t>
            </a:r>
            <a:endParaRPr lang="en-IN" b="1">
              <a:solidFill>
                <a:schemeClr val="accent2">
                  <a:lumMod val="20000"/>
                  <a:lumOff val="80000"/>
                </a:schemeClr>
              </a:solidFill>
              <a:latin typeface="Roboto"/>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Roboto"/>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s>
    <c:plotArea>
      <c:layout/>
      <c:barChart>
        <c:barDir val="col"/>
        <c:grouping val="stacked"/>
        <c:varyColors val="0"/>
        <c:ser>
          <c:idx val="0"/>
          <c:order val="0"/>
          <c:tx>
            <c:strRef>
              <c:f>Sheet2!$B$3:$B$4</c:f>
              <c:strCache>
                <c:ptCount val="1"/>
                <c:pt idx="0">
                  <c:v>01-2026</c:v>
                </c:pt>
              </c:strCache>
            </c:strRef>
          </c:tx>
          <c:spPr>
            <a:solidFill>
              <a:schemeClr val="accent1"/>
            </a:solidFill>
            <a:ln>
              <a:noFill/>
            </a:ln>
            <a:effectLst/>
          </c:spPr>
          <c:invertIfNegative val="0"/>
          <c:cat>
            <c:strRef>
              <c:f>Sheet2!$A$5:$A$10</c:f>
              <c:strCache>
                <c:ptCount val="5"/>
                <c:pt idx="0">
                  <c:v>Beauty</c:v>
                </c:pt>
                <c:pt idx="1">
                  <c:v>Clothing</c:v>
                </c:pt>
                <c:pt idx="2">
                  <c:v>Electronics</c:v>
                </c:pt>
                <c:pt idx="3">
                  <c:v>Home</c:v>
                </c:pt>
                <c:pt idx="4">
                  <c:v>Sports</c:v>
                </c:pt>
              </c:strCache>
            </c:strRef>
          </c:cat>
          <c:val>
            <c:numRef>
              <c:f>Sheet2!$B$5:$B$10</c:f>
              <c:numCache>
                <c:formatCode>General</c:formatCode>
                <c:ptCount val="5"/>
                <c:pt idx="0">
                  <c:v>3431.6800000000003</c:v>
                </c:pt>
                <c:pt idx="1">
                  <c:v>2447.73</c:v>
                </c:pt>
                <c:pt idx="2">
                  <c:v>3748.18</c:v>
                </c:pt>
                <c:pt idx="3">
                  <c:v>3924.44</c:v>
                </c:pt>
                <c:pt idx="4">
                  <c:v>3625.47</c:v>
                </c:pt>
              </c:numCache>
            </c:numRef>
          </c:val>
        </c:ser>
        <c:ser>
          <c:idx val="1"/>
          <c:order val="1"/>
          <c:tx>
            <c:strRef>
              <c:f>Sheet2!$C$3:$C$4</c:f>
              <c:strCache>
                <c:ptCount val="1"/>
                <c:pt idx="0">
                  <c:v>02-2025</c:v>
                </c:pt>
              </c:strCache>
            </c:strRef>
          </c:tx>
          <c:spPr>
            <a:solidFill>
              <a:schemeClr val="accent2"/>
            </a:solidFill>
            <a:ln>
              <a:noFill/>
            </a:ln>
            <a:effectLst/>
          </c:spPr>
          <c:invertIfNegative val="0"/>
          <c:cat>
            <c:strRef>
              <c:f>Sheet2!$A$5:$A$10</c:f>
              <c:strCache>
                <c:ptCount val="5"/>
                <c:pt idx="0">
                  <c:v>Beauty</c:v>
                </c:pt>
                <c:pt idx="1">
                  <c:v>Clothing</c:v>
                </c:pt>
                <c:pt idx="2">
                  <c:v>Electronics</c:v>
                </c:pt>
                <c:pt idx="3">
                  <c:v>Home</c:v>
                </c:pt>
                <c:pt idx="4">
                  <c:v>Sports</c:v>
                </c:pt>
              </c:strCache>
            </c:strRef>
          </c:cat>
          <c:val>
            <c:numRef>
              <c:f>Sheet2!$C$5:$C$10</c:f>
              <c:numCache>
                <c:formatCode>General</c:formatCode>
                <c:ptCount val="5"/>
                <c:pt idx="0">
                  <c:v>383.65</c:v>
                </c:pt>
                <c:pt idx="1">
                  <c:v>509.18999999999994</c:v>
                </c:pt>
                <c:pt idx="2">
                  <c:v>1327.08</c:v>
                </c:pt>
                <c:pt idx="3">
                  <c:v>692.48</c:v>
                </c:pt>
                <c:pt idx="4">
                  <c:v>820.57999999999993</c:v>
                </c:pt>
              </c:numCache>
            </c:numRef>
          </c:val>
        </c:ser>
        <c:ser>
          <c:idx val="2"/>
          <c:order val="2"/>
          <c:tx>
            <c:strRef>
              <c:f>Sheet2!$D$3:$D$4</c:f>
              <c:strCache>
                <c:ptCount val="1"/>
                <c:pt idx="0">
                  <c:v>02-2026</c:v>
                </c:pt>
              </c:strCache>
            </c:strRef>
          </c:tx>
          <c:spPr>
            <a:solidFill>
              <a:schemeClr val="accent3"/>
            </a:solidFill>
            <a:ln>
              <a:noFill/>
            </a:ln>
            <a:effectLst/>
          </c:spPr>
          <c:invertIfNegative val="0"/>
          <c:cat>
            <c:strRef>
              <c:f>Sheet2!$A$5:$A$10</c:f>
              <c:strCache>
                <c:ptCount val="5"/>
                <c:pt idx="0">
                  <c:v>Beauty</c:v>
                </c:pt>
                <c:pt idx="1">
                  <c:v>Clothing</c:v>
                </c:pt>
                <c:pt idx="2">
                  <c:v>Electronics</c:v>
                </c:pt>
                <c:pt idx="3">
                  <c:v>Home</c:v>
                </c:pt>
                <c:pt idx="4">
                  <c:v>Sports</c:v>
                </c:pt>
              </c:strCache>
            </c:strRef>
          </c:cat>
          <c:val>
            <c:numRef>
              <c:f>Sheet2!$D$5:$D$10</c:f>
              <c:numCache>
                <c:formatCode>General</c:formatCode>
                <c:ptCount val="5"/>
                <c:pt idx="0">
                  <c:v>1953.3300000000002</c:v>
                </c:pt>
                <c:pt idx="1">
                  <c:v>2079.96</c:v>
                </c:pt>
                <c:pt idx="2">
                  <c:v>395.12</c:v>
                </c:pt>
                <c:pt idx="3">
                  <c:v>1849.62</c:v>
                </c:pt>
                <c:pt idx="4">
                  <c:v>2034.94</c:v>
                </c:pt>
              </c:numCache>
            </c:numRef>
          </c:val>
        </c:ser>
        <c:ser>
          <c:idx val="3"/>
          <c:order val="3"/>
          <c:tx>
            <c:strRef>
              <c:f>Sheet2!$E$3:$E$4</c:f>
              <c:strCache>
                <c:ptCount val="1"/>
                <c:pt idx="0">
                  <c:v>03-2025</c:v>
                </c:pt>
              </c:strCache>
            </c:strRef>
          </c:tx>
          <c:spPr>
            <a:solidFill>
              <a:schemeClr val="accent4"/>
            </a:solidFill>
            <a:ln>
              <a:noFill/>
            </a:ln>
            <a:effectLst/>
          </c:spPr>
          <c:invertIfNegative val="0"/>
          <c:cat>
            <c:strRef>
              <c:f>Sheet2!$A$5:$A$10</c:f>
              <c:strCache>
                <c:ptCount val="5"/>
                <c:pt idx="0">
                  <c:v>Beauty</c:v>
                </c:pt>
                <c:pt idx="1">
                  <c:v>Clothing</c:v>
                </c:pt>
                <c:pt idx="2">
                  <c:v>Electronics</c:v>
                </c:pt>
                <c:pt idx="3">
                  <c:v>Home</c:v>
                </c:pt>
                <c:pt idx="4">
                  <c:v>Sports</c:v>
                </c:pt>
              </c:strCache>
            </c:strRef>
          </c:cat>
          <c:val>
            <c:numRef>
              <c:f>Sheet2!$E$5:$E$10</c:f>
              <c:numCache>
                <c:formatCode>General</c:formatCode>
                <c:ptCount val="5"/>
                <c:pt idx="0">
                  <c:v>1168.3999999999999</c:v>
                </c:pt>
                <c:pt idx="1">
                  <c:v>4303.47</c:v>
                </c:pt>
                <c:pt idx="2">
                  <c:v>3165.29</c:v>
                </c:pt>
                <c:pt idx="3">
                  <c:v>2067.31</c:v>
                </c:pt>
                <c:pt idx="4">
                  <c:v>2065.33</c:v>
                </c:pt>
              </c:numCache>
            </c:numRef>
          </c:val>
        </c:ser>
        <c:ser>
          <c:idx val="4"/>
          <c:order val="4"/>
          <c:tx>
            <c:strRef>
              <c:f>Sheet2!$F$3:$F$4</c:f>
              <c:strCache>
                <c:ptCount val="1"/>
                <c:pt idx="0">
                  <c:v>04-2025</c:v>
                </c:pt>
              </c:strCache>
            </c:strRef>
          </c:tx>
          <c:spPr>
            <a:solidFill>
              <a:schemeClr val="accent5"/>
            </a:solidFill>
            <a:ln>
              <a:noFill/>
            </a:ln>
            <a:effectLst/>
          </c:spPr>
          <c:invertIfNegative val="0"/>
          <c:cat>
            <c:strRef>
              <c:f>Sheet2!$A$5:$A$10</c:f>
              <c:strCache>
                <c:ptCount val="5"/>
                <c:pt idx="0">
                  <c:v>Beauty</c:v>
                </c:pt>
                <c:pt idx="1">
                  <c:v>Clothing</c:v>
                </c:pt>
                <c:pt idx="2">
                  <c:v>Electronics</c:v>
                </c:pt>
                <c:pt idx="3">
                  <c:v>Home</c:v>
                </c:pt>
                <c:pt idx="4">
                  <c:v>Sports</c:v>
                </c:pt>
              </c:strCache>
            </c:strRef>
          </c:cat>
          <c:val>
            <c:numRef>
              <c:f>Sheet2!$F$5:$F$10</c:f>
              <c:numCache>
                <c:formatCode>General</c:formatCode>
                <c:ptCount val="5"/>
                <c:pt idx="0">
                  <c:v>1987.34</c:v>
                </c:pt>
                <c:pt idx="1">
                  <c:v>2149.46</c:v>
                </c:pt>
                <c:pt idx="2">
                  <c:v>3420.2599999999998</c:v>
                </c:pt>
                <c:pt idx="3">
                  <c:v>2316.8599999999997</c:v>
                </c:pt>
                <c:pt idx="4">
                  <c:v>2509.9299999999994</c:v>
                </c:pt>
              </c:numCache>
            </c:numRef>
          </c:val>
        </c:ser>
        <c:ser>
          <c:idx val="5"/>
          <c:order val="5"/>
          <c:tx>
            <c:strRef>
              <c:f>Sheet2!$G$3:$G$4</c:f>
              <c:strCache>
                <c:ptCount val="1"/>
                <c:pt idx="0">
                  <c:v>05-2025</c:v>
                </c:pt>
              </c:strCache>
            </c:strRef>
          </c:tx>
          <c:spPr>
            <a:solidFill>
              <a:schemeClr val="accent6"/>
            </a:solidFill>
            <a:ln>
              <a:noFill/>
            </a:ln>
            <a:effectLst/>
          </c:spPr>
          <c:invertIfNegative val="0"/>
          <c:cat>
            <c:strRef>
              <c:f>Sheet2!$A$5:$A$10</c:f>
              <c:strCache>
                <c:ptCount val="5"/>
                <c:pt idx="0">
                  <c:v>Beauty</c:v>
                </c:pt>
                <c:pt idx="1">
                  <c:v>Clothing</c:v>
                </c:pt>
                <c:pt idx="2">
                  <c:v>Electronics</c:v>
                </c:pt>
                <c:pt idx="3">
                  <c:v>Home</c:v>
                </c:pt>
                <c:pt idx="4">
                  <c:v>Sports</c:v>
                </c:pt>
              </c:strCache>
            </c:strRef>
          </c:cat>
          <c:val>
            <c:numRef>
              <c:f>Sheet2!$G$5:$G$10</c:f>
              <c:numCache>
                <c:formatCode>General</c:formatCode>
                <c:ptCount val="5"/>
                <c:pt idx="0">
                  <c:v>3111.1000000000004</c:v>
                </c:pt>
                <c:pt idx="1">
                  <c:v>2497.9</c:v>
                </c:pt>
                <c:pt idx="2">
                  <c:v>2049.7000000000003</c:v>
                </c:pt>
                <c:pt idx="3">
                  <c:v>3089.92</c:v>
                </c:pt>
                <c:pt idx="4">
                  <c:v>3212.13</c:v>
                </c:pt>
              </c:numCache>
            </c:numRef>
          </c:val>
        </c:ser>
        <c:ser>
          <c:idx val="6"/>
          <c:order val="6"/>
          <c:tx>
            <c:strRef>
              <c:f>Sheet2!$H$3:$H$4</c:f>
              <c:strCache>
                <c:ptCount val="1"/>
                <c:pt idx="0">
                  <c:v>06-2025</c:v>
                </c:pt>
              </c:strCache>
            </c:strRef>
          </c:tx>
          <c:spPr>
            <a:solidFill>
              <a:schemeClr val="accent1">
                <a:lumMod val="60000"/>
              </a:schemeClr>
            </a:solidFill>
            <a:ln>
              <a:noFill/>
            </a:ln>
            <a:effectLst/>
          </c:spPr>
          <c:invertIfNegative val="0"/>
          <c:cat>
            <c:strRef>
              <c:f>Sheet2!$A$5:$A$10</c:f>
              <c:strCache>
                <c:ptCount val="5"/>
                <c:pt idx="0">
                  <c:v>Beauty</c:v>
                </c:pt>
                <c:pt idx="1">
                  <c:v>Clothing</c:v>
                </c:pt>
                <c:pt idx="2">
                  <c:v>Electronics</c:v>
                </c:pt>
                <c:pt idx="3">
                  <c:v>Home</c:v>
                </c:pt>
                <c:pt idx="4">
                  <c:v>Sports</c:v>
                </c:pt>
              </c:strCache>
            </c:strRef>
          </c:cat>
          <c:val>
            <c:numRef>
              <c:f>Sheet2!$H$5:$H$10</c:f>
              <c:numCache>
                <c:formatCode>General</c:formatCode>
                <c:ptCount val="5"/>
                <c:pt idx="0">
                  <c:v>2934.1499999999996</c:v>
                </c:pt>
                <c:pt idx="1">
                  <c:v>3179.13</c:v>
                </c:pt>
                <c:pt idx="2">
                  <c:v>3859.69</c:v>
                </c:pt>
                <c:pt idx="3">
                  <c:v>3040.11</c:v>
                </c:pt>
                <c:pt idx="4">
                  <c:v>2341.94</c:v>
                </c:pt>
              </c:numCache>
            </c:numRef>
          </c:val>
        </c:ser>
        <c:ser>
          <c:idx val="7"/>
          <c:order val="7"/>
          <c:tx>
            <c:strRef>
              <c:f>Sheet2!$I$3:$I$4</c:f>
              <c:strCache>
                <c:ptCount val="1"/>
                <c:pt idx="0">
                  <c:v>07-2025</c:v>
                </c:pt>
              </c:strCache>
            </c:strRef>
          </c:tx>
          <c:spPr>
            <a:solidFill>
              <a:schemeClr val="accent2">
                <a:lumMod val="60000"/>
              </a:schemeClr>
            </a:solidFill>
            <a:ln>
              <a:noFill/>
            </a:ln>
            <a:effectLst/>
          </c:spPr>
          <c:invertIfNegative val="0"/>
          <c:cat>
            <c:strRef>
              <c:f>Sheet2!$A$5:$A$10</c:f>
              <c:strCache>
                <c:ptCount val="5"/>
                <c:pt idx="0">
                  <c:v>Beauty</c:v>
                </c:pt>
                <c:pt idx="1">
                  <c:v>Clothing</c:v>
                </c:pt>
                <c:pt idx="2">
                  <c:v>Electronics</c:v>
                </c:pt>
                <c:pt idx="3">
                  <c:v>Home</c:v>
                </c:pt>
                <c:pt idx="4">
                  <c:v>Sports</c:v>
                </c:pt>
              </c:strCache>
            </c:strRef>
          </c:cat>
          <c:val>
            <c:numRef>
              <c:f>Sheet2!$I$5:$I$10</c:f>
              <c:numCache>
                <c:formatCode>General</c:formatCode>
                <c:ptCount val="5"/>
                <c:pt idx="0">
                  <c:v>2015.88</c:v>
                </c:pt>
                <c:pt idx="1">
                  <c:v>2279.4300000000003</c:v>
                </c:pt>
                <c:pt idx="2">
                  <c:v>3917.6499999999996</c:v>
                </c:pt>
                <c:pt idx="3">
                  <c:v>302.52</c:v>
                </c:pt>
                <c:pt idx="4">
                  <c:v>1147.07</c:v>
                </c:pt>
              </c:numCache>
            </c:numRef>
          </c:val>
        </c:ser>
        <c:ser>
          <c:idx val="8"/>
          <c:order val="8"/>
          <c:tx>
            <c:strRef>
              <c:f>Sheet2!$J$3:$J$4</c:f>
              <c:strCache>
                <c:ptCount val="1"/>
                <c:pt idx="0">
                  <c:v>08-2025</c:v>
                </c:pt>
              </c:strCache>
            </c:strRef>
          </c:tx>
          <c:spPr>
            <a:solidFill>
              <a:schemeClr val="accent3">
                <a:lumMod val="60000"/>
              </a:schemeClr>
            </a:solidFill>
            <a:ln>
              <a:noFill/>
            </a:ln>
            <a:effectLst/>
          </c:spPr>
          <c:invertIfNegative val="0"/>
          <c:cat>
            <c:strRef>
              <c:f>Sheet2!$A$5:$A$10</c:f>
              <c:strCache>
                <c:ptCount val="5"/>
                <c:pt idx="0">
                  <c:v>Beauty</c:v>
                </c:pt>
                <c:pt idx="1">
                  <c:v>Clothing</c:v>
                </c:pt>
                <c:pt idx="2">
                  <c:v>Electronics</c:v>
                </c:pt>
                <c:pt idx="3">
                  <c:v>Home</c:v>
                </c:pt>
                <c:pt idx="4">
                  <c:v>Sports</c:v>
                </c:pt>
              </c:strCache>
            </c:strRef>
          </c:cat>
          <c:val>
            <c:numRef>
              <c:f>Sheet2!$J$5:$J$10</c:f>
              <c:numCache>
                <c:formatCode>General</c:formatCode>
                <c:ptCount val="5"/>
                <c:pt idx="0">
                  <c:v>3838.54</c:v>
                </c:pt>
                <c:pt idx="1">
                  <c:v>5068.0199999999995</c:v>
                </c:pt>
                <c:pt idx="2">
                  <c:v>4069.69</c:v>
                </c:pt>
                <c:pt idx="3">
                  <c:v>2535.48</c:v>
                </c:pt>
                <c:pt idx="4">
                  <c:v>4607.41</c:v>
                </c:pt>
              </c:numCache>
            </c:numRef>
          </c:val>
        </c:ser>
        <c:ser>
          <c:idx val="9"/>
          <c:order val="9"/>
          <c:tx>
            <c:strRef>
              <c:f>Sheet2!$K$3:$K$4</c:f>
              <c:strCache>
                <c:ptCount val="1"/>
                <c:pt idx="0">
                  <c:v>09-2025</c:v>
                </c:pt>
              </c:strCache>
            </c:strRef>
          </c:tx>
          <c:spPr>
            <a:solidFill>
              <a:schemeClr val="accent4">
                <a:lumMod val="60000"/>
              </a:schemeClr>
            </a:solidFill>
            <a:ln>
              <a:noFill/>
            </a:ln>
            <a:effectLst/>
          </c:spPr>
          <c:invertIfNegative val="0"/>
          <c:cat>
            <c:strRef>
              <c:f>Sheet2!$A$5:$A$10</c:f>
              <c:strCache>
                <c:ptCount val="5"/>
                <c:pt idx="0">
                  <c:v>Beauty</c:v>
                </c:pt>
                <c:pt idx="1">
                  <c:v>Clothing</c:v>
                </c:pt>
                <c:pt idx="2">
                  <c:v>Electronics</c:v>
                </c:pt>
                <c:pt idx="3">
                  <c:v>Home</c:v>
                </c:pt>
                <c:pt idx="4">
                  <c:v>Sports</c:v>
                </c:pt>
              </c:strCache>
            </c:strRef>
          </c:cat>
          <c:val>
            <c:numRef>
              <c:f>Sheet2!$K$5:$K$10</c:f>
              <c:numCache>
                <c:formatCode>General</c:formatCode>
                <c:ptCount val="5"/>
                <c:pt idx="0">
                  <c:v>2840.1400000000003</c:v>
                </c:pt>
                <c:pt idx="1">
                  <c:v>2478.16</c:v>
                </c:pt>
                <c:pt idx="2">
                  <c:v>3710.16</c:v>
                </c:pt>
                <c:pt idx="3">
                  <c:v>2580.1</c:v>
                </c:pt>
                <c:pt idx="4">
                  <c:v>2600.4000000000005</c:v>
                </c:pt>
              </c:numCache>
            </c:numRef>
          </c:val>
        </c:ser>
        <c:ser>
          <c:idx val="10"/>
          <c:order val="10"/>
          <c:tx>
            <c:strRef>
              <c:f>Sheet2!$L$3:$L$4</c:f>
              <c:strCache>
                <c:ptCount val="1"/>
                <c:pt idx="0">
                  <c:v>10-2025</c:v>
                </c:pt>
              </c:strCache>
            </c:strRef>
          </c:tx>
          <c:spPr>
            <a:solidFill>
              <a:schemeClr val="accent5">
                <a:lumMod val="60000"/>
              </a:schemeClr>
            </a:solidFill>
            <a:ln>
              <a:noFill/>
            </a:ln>
            <a:effectLst/>
          </c:spPr>
          <c:invertIfNegative val="0"/>
          <c:cat>
            <c:strRef>
              <c:f>Sheet2!$A$5:$A$10</c:f>
              <c:strCache>
                <c:ptCount val="5"/>
                <c:pt idx="0">
                  <c:v>Beauty</c:v>
                </c:pt>
                <c:pt idx="1">
                  <c:v>Clothing</c:v>
                </c:pt>
                <c:pt idx="2">
                  <c:v>Electronics</c:v>
                </c:pt>
                <c:pt idx="3">
                  <c:v>Home</c:v>
                </c:pt>
                <c:pt idx="4">
                  <c:v>Sports</c:v>
                </c:pt>
              </c:strCache>
            </c:strRef>
          </c:cat>
          <c:val>
            <c:numRef>
              <c:f>Sheet2!$L$5:$L$10</c:f>
              <c:numCache>
                <c:formatCode>General</c:formatCode>
                <c:ptCount val="5"/>
                <c:pt idx="0">
                  <c:v>2778.28</c:v>
                </c:pt>
                <c:pt idx="1">
                  <c:v>5646.2199999999993</c:v>
                </c:pt>
                <c:pt idx="2">
                  <c:v>4160.97</c:v>
                </c:pt>
                <c:pt idx="3">
                  <c:v>2452.2400000000002</c:v>
                </c:pt>
                <c:pt idx="4">
                  <c:v>3356.8</c:v>
                </c:pt>
              </c:numCache>
            </c:numRef>
          </c:val>
        </c:ser>
        <c:ser>
          <c:idx val="11"/>
          <c:order val="11"/>
          <c:tx>
            <c:strRef>
              <c:f>Sheet2!$M$3:$M$4</c:f>
              <c:strCache>
                <c:ptCount val="1"/>
                <c:pt idx="0">
                  <c:v>11-2025</c:v>
                </c:pt>
              </c:strCache>
            </c:strRef>
          </c:tx>
          <c:spPr>
            <a:solidFill>
              <a:schemeClr val="accent6">
                <a:lumMod val="60000"/>
              </a:schemeClr>
            </a:solidFill>
            <a:ln>
              <a:noFill/>
            </a:ln>
            <a:effectLst/>
          </c:spPr>
          <c:invertIfNegative val="0"/>
          <c:cat>
            <c:strRef>
              <c:f>Sheet2!$A$5:$A$10</c:f>
              <c:strCache>
                <c:ptCount val="5"/>
                <c:pt idx="0">
                  <c:v>Beauty</c:v>
                </c:pt>
                <c:pt idx="1">
                  <c:v>Clothing</c:v>
                </c:pt>
                <c:pt idx="2">
                  <c:v>Electronics</c:v>
                </c:pt>
                <c:pt idx="3">
                  <c:v>Home</c:v>
                </c:pt>
                <c:pt idx="4">
                  <c:v>Sports</c:v>
                </c:pt>
              </c:strCache>
            </c:strRef>
          </c:cat>
          <c:val>
            <c:numRef>
              <c:f>Sheet2!$M$5:$M$10</c:f>
              <c:numCache>
                <c:formatCode>General</c:formatCode>
                <c:ptCount val="5"/>
                <c:pt idx="0">
                  <c:v>4300.8999999999996</c:v>
                </c:pt>
                <c:pt idx="1">
                  <c:v>1799.69</c:v>
                </c:pt>
                <c:pt idx="2">
                  <c:v>3822.1100000000006</c:v>
                </c:pt>
                <c:pt idx="3">
                  <c:v>2681.55</c:v>
                </c:pt>
                <c:pt idx="4">
                  <c:v>3142.9900000000002</c:v>
                </c:pt>
              </c:numCache>
            </c:numRef>
          </c:val>
        </c:ser>
        <c:ser>
          <c:idx val="12"/>
          <c:order val="12"/>
          <c:tx>
            <c:strRef>
              <c:f>Sheet2!$N$3:$N$4</c:f>
              <c:strCache>
                <c:ptCount val="1"/>
                <c:pt idx="0">
                  <c:v>12-2025</c:v>
                </c:pt>
              </c:strCache>
            </c:strRef>
          </c:tx>
          <c:spPr>
            <a:solidFill>
              <a:schemeClr val="accent1">
                <a:lumMod val="80000"/>
                <a:lumOff val="20000"/>
              </a:schemeClr>
            </a:solidFill>
            <a:ln>
              <a:noFill/>
            </a:ln>
            <a:effectLst/>
          </c:spPr>
          <c:invertIfNegative val="0"/>
          <c:cat>
            <c:strRef>
              <c:f>Sheet2!$A$5:$A$10</c:f>
              <c:strCache>
                <c:ptCount val="5"/>
                <c:pt idx="0">
                  <c:v>Beauty</c:v>
                </c:pt>
                <c:pt idx="1">
                  <c:v>Clothing</c:v>
                </c:pt>
                <c:pt idx="2">
                  <c:v>Electronics</c:v>
                </c:pt>
                <c:pt idx="3">
                  <c:v>Home</c:v>
                </c:pt>
                <c:pt idx="4">
                  <c:v>Sports</c:v>
                </c:pt>
              </c:strCache>
            </c:strRef>
          </c:cat>
          <c:val>
            <c:numRef>
              <c:f>Sheet2!$N$5:$N$10</c:f>
              <c:numCache>
                <c:formatCode>General</c:formatCode>
                <c:ptCount val="5"/>
                <c:pt idx="0">
                  <c:v>3030.4500000000007</c:v>
                </c:pt>
                <c:pt idx="1">
                  <c:v>3273.57</c:v>
                </c:pt>
                <c:pt idx="2">
                  <c:v>2187.1000000000004</c:v>
                </c:pt>
                <c:pt idx="3">
                  <c:v>2618.4599999999996</c:v>
                </c:pt>
                <c:pt idx="4">
                  <c:v>3343.09</c:v>
                </c:pt>
              </c:numCache>
            </c:numRef>
          </c:val>
        </c:ser>
        <c:dLbls>
          <c:showLegendKey val="0"/>
          <c:showVal val="0"/>
          <c:showCatName val="0"/>
          <c:showSerName val="0"/>
          <c:showPercent val="0"/>
          <c:showBubbleSize val="0"/>
        </c:dLbls>
        <c:gapWidth val="150"/>
        <c:overlap val="100"/>
        <c:axId val="295819352"/>
        <c:axId val="293179376"/>
      </c:barChart>
      <c:catAx>
        <c:axId val="295819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3">
                        <a:lumMod val="20000"/>
                        <a:lumOff val="80000"/>
                      </a:schemeClr>
                    </a:solidFill>
                    <a:latin typeface="Roboto"/>
                    <a:ea typeface="+mn-ea"/>
                    <a:cs typeface="+mn-cs"/>
                  </a:defRPr>
                </a:pPr>
                <a:r>
                  <a:rPr lang="en-US">
                    <a:solidFill>
                      <a:schemeClr val="accent3">
                        <a:lumMod val="20000"/>
                        <a:lumOff val="80000"/>
                      </a:schemeClr>
                    </a:solidFill>
                    <a:latin typeface="Roboto"/>
                  </a:rPr>
                  <a:t>Product</a:t>
                </a:r>
                <a:r>
                  <a:rPr lang="en-US" baseline="0">
                    <a:solidFill>
                      <a:schemeClr val="accent3">
                        <a:lumMod val="20000"/>
                        <a:lumOff val="80000"/>
                      </a:schemeClr>
                    </a:solidFill>
                    <a:latin typeface="Roboto"/>
                  </a:rPr>
                  <a:t> Category</a:t>
                </a:r>
                <a:endParaRPr lang="en-US">
                  <a:solidFill>
                    <a:schemeClr val="accent3">
                      <a:lumMod val="20000"/>
                      <a:lumOff val="80000"/>
                    </a:schemeClr>
                  </a:solidFill>
                  <a:latin typeface="Roboto"/>
                </a:endParaRPr>
              </a:p>
            </c:rich>
          </c:tx>
          <c:layout>
            <c:manualLayout>
              <c:xMode val="edge"/>
              <c:yMode val="edge"/>
              <c:x val="0.45132655293088364"/>
              <c:y val="0.895833333333333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3">
                      <a:lumMod val="20000"/>
                      <a:lumOff val="80000"/>
                    </a:schemeClr>
                  </a:solidFill>
                  <a:latin typeface="Roboto"/>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20000"/>
                    <a:lumOff val="80000"/>
                  </a:schemeClr>
                </a:solidFill>
                <a:latin typeface="Roboto"/>
                <a:ea typeface="+mn-ea"/>
                <a:cs typeface="+mn-cs"/>
              </a:defRPr>
            </a:pPr>
            <a:endParaRPr lang="en-US"/>
          </a:p>
        </c:txPr>
        <c:crossAx val="293179376"/>
        <c:crosses val="autoZero"/>
        <c:auto val="1"/>
        <c:lblAlgn val="ctr"/>
        <c:lblOffset val="100"/>
        <c:noMultiLvlLbl val="0"/>
      </c:catAx>
      <c:valAx>
        <c:axId val="293179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3">
                        <a:lumMod val="20000"/>
                        <a:lumOff val="80000"/>
                      </a:schemeClr>
                    </a:solidFill>
                    <a:latin typeface="Roboto"/>
                    <a:ea typeface="+mn-ea"/>
                    <a:cs typeface="+mn-cs"/>
                  </a:defRPr>
                </a:pPr>
                <a:r>
                  <a:rPr lang="en-US">
                    <a:solidFill>
                      <a:schemeClr val="accent3">
                        <a:lumMod val="20000"/>
                        <a:lumOff val="80000"/>
                      </a:schemeClr>
                    </a:solidFill>
                    <a:latin typeface="Roboto"/>
                  </a:rPr>
                  <a:t>Sales</a:t>
                </a:r>
              </a:p>
            </c:rich>
          </c:tx>
          <c:layout>
            <c:manualLayout>
              <c:xMode val="edge"/>
              <c:yMode val="edge"/>
              <c:x val="2.2222222222222223E-2"/>
              <c:y val="0.413448891805191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20000"/>
                      <a:lumOff val="80000"/>
                    </a:schemeClr>
                  </a:solidFill>
                  <a:latin typeface="Roboto"/>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20000"/>
                    <a:lumOff val="80000"/>
                  </a:schemeClr>
                </a:solidFill>
                <a:latin typeface="Roboto"/>
                <a:ea typeface="+mn-ea"/>
                <a:cs typeface="+mn-cs"/>
              </a:defRPr>
            </a:pPr>
            <a:endParaRPr lang="en-US"/>
          </a:p>
        </c:txPr>
        <c:crossAx val="295819352"/>
        <c:crosses val="autoZero"/>
        <c:crossBetween val="between"/>
      </c:valAx>
      <c:spPr>
        <a:noFill/>
        <a:ln>
          <a:noFill/>
        </a:ln>
        <a:effectLst/>
      </c:spPr>
    </c:plotArea>
    <c:plotVisOnly val="1"/>
    <c:dispBlanksAs val="gap"/>
    <c:showDLblsOverMax val="0"/>
  </c:chart>
  <c:spPr>
    <a:solidFill>
      <a:srgbClr val="C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[E-Commerce-Customer-Insights-Dashboard.xlsx]Sheet3!PivotTable3</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Location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31750" cap="rnd">
            <a:solidFill>
              <a:schemeClr val="accent1">
                <a:alpha val="85000"/>
              </a:schemeClr>
            </a:solidFill>
            <a:round/>
          </a:ln>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accent1">
                <a:alpha val="85000"/>
              </a:schemeClr>
            </a:solidFill>
            <a:round/>
          </a:ln>
          <a:effectLst/>
        </c:spPr>
        <c:marker>
          <c:symbol val="none"/>
        </c:marker>
        <c:dLbl>
          <c:idx val="0"/>
          <c:layout>
            <c:manualLayout>
              <c:x val="-4.1666666666666664E-2"/>
              <c:y val="7.8703703703703706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chemeClr val="accent1">
                <a:alpha val="85000"/>
              </a:schemeClr>
            </a:solidFill>
            <a:round/>
          </a:ln>
          <a:effectLst/>
        </c:spPr>
        <c:marker>
          <c:symbol val="none"/>
        </c:marker>
        <c:dLbl>
          <c:idx val="0"/>
          <c:layout>
            <c:manualLayout>
              <c:x val="0.125"/>
              <c:y val="-3.2407407407407426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chemeClr val="accent1">
                <a:alpha val="85000"/>
              </a:schemeClr>
            </a:solidFill>
            <a:round/>
          </a:ln>
          <a:effectLst/>
        </c:spPr>
        <c:marker>
          <c:symbol val="none"/>
        </c:marker>
        <c:dLbl>
          <c:idx val="0"/>
          <c:layout>
            <c:manualLayout>
              <c:x val="0.10833333333333334"/>
              <c:y val="5.555555555555560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1750" cap="rnd">
            <a:solidFill>
              <a:schemeClr val="accent1">
                <a:alpha val="85000"/>
              </a:schemeClr>
            </a:solidFill>
            <a:round/>
          </a:ln>
          <a:effectLst/>
        </c:spPr>
        <c:marker>
          <c:symbol val="none"/>
        </c:marker>
        <c:dLbl>
          <c:idx val="0"/>
          <c:layout>
            <c:manualLayout>
              <c:x val="-8.3333333333333329E-2"/>
              <c:y val="6.9444444444444364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0" cap="rnd">
            <a:solidFill>
              <a:schemeClr val="accent1">
                <a:alpha val="85000"/>
              </a:schemeClr>
            </a:solidFill>
            <a:round/>
          </a:ln>
          <a:effectLst/>
        </c:spPr>
        <c:marker>
          <c:symbol val="none"/>
        </c:marker>
        <c:dLbl>
          <c:idx val="0"/>
          <c:layout>
            <c:manualLayout>
              <c:x val="1.1111111111111112E-2"/>
              <c:y val="6.0185185185185182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1750" cap="rnd">
            <a:solidFill>
              <a:schemeClr val="accent1">
                <a:alpha val="85000"/>
              </a:schemeClr>
            </a:solidFill>
            <a:round/>
          </a:ln>
          <a:effectLst/>
        </c:spPr>
        <c:marker>
          <c:symbol val="none"/>
        </c:marker>
        <c:dLbl>
          <c:idx val="0"/>
          <c:layout>
            <c:manualLayout>
              <c:x val="7.7777777777777779E-2"/>
              <c:y val="3.009259259259259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50000000000001"/>
                  <c:h val="6.25E-2"/>
                </c:manualLayout>
              </c15:layout>
            </c:ext>
          </c:extLst>
        </c:dLbl>
      </c:pivotFmt>
      <c:pivotFmt>
        <c:idx val="7"/>
        <c:spPr>
          <a:solidFill>
            <a:schemeClr val="accent1"/>
          </a:solidFill>
          <a:ln w="31750" cap="rnd">
            <a:solidFill>
              <a:schemeClr val="accent1">
                <a:alpha val="85000"/>
              </a:schemeClr>
            </a:solidFill>
            <a:round/>
          </a:ln>
          <a:effectLst/>
        </c:spPr>
        <c:marker>
          <c:symbol val="none"/>
        </c:marker>
        <c:dLbl>
          <c:idx val="0"/>
          <c:layout>
            <c:manualLayout>
              <c:x val="6.9444444444444448E-2"/>
              <c:y val="6.944444444444444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1750" cap="rnd">
            <a:solidFill>
              <a:schemeClr val="accent1">
                <a:alpha val="85000"/>
              </a:schemeClr>
            </a:solidFill>
            <a:round/>
          </a:ln>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1750" cap="rnd">
            <a:solidFill>
              <a:schemeClr val="accent1">
                <a:alpha val="85000"/>
              </a:schemeClr>
            </a:solidFill>
            <a:round/>
          </a:ln>
          <a:effectLst/>
        </c:spPr>
        <c:marker>
          <c:symbol val="none"/>
        </c:marker>
        <c:dLbl>
          <c:idx val="0"/>
          <c:layout>
            <c:manualLayout>
              <c:x val="0.125"/>
              <c:y val="-3.2407407407407426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1750" cap="rnd">
            <a:solidFill>
              <a:schemeClr val="accent1">
                <a:alpha val="85000"/>
              </a:schemeClr>
            </a:solidFill>
            <a:round/>
          </a:ln>
          <a:effectLst/>
        </c:spPr>
        <c:marker>
          <c:symbol val="none"/>
        </c:marker>
        <c:dLbl>
          <c:idx val="0"/>
          <c:layout>
            <c:manualLayout>
              <c:x val="0.10833333333333334"/>
              <c:y val="5.555555555555560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1750" cap="rnd">
            <a:solidFill>
              <a:schemeClr val="accent1">
                <a:alpha val="85000"/>
              </a:schemeClr>
            </a:solidFill>
            <a:round/>
          </a:ln>
          <a:effectLst/>
        </c:spPr>
        <c:marker>
          <c:symbol val="none"/>
        </c:marker>
        <c:dLbl>
          <c:idx val="0"/>
          <c:layout>
            <c:manualLayout>
              <c:x val="6.9444444444444448E-2"/>
              <c:y val="6.944444444444444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1750" cap="rnd">
            <a:solidFill>
              <a:schemeClr val="accent1">
                <a:alpha val="85000"/>
              </a:schemeClr>
            </a:solidFill>
            <a:round/>
          </a:ln>
          <a:effectLst/>
        </c:spPr>
        <c:marker>
          <c:symbol val="none"/>
        </c:marker>
        <c:dLbl>
          <c:idx val="0"/>
          <c:layout>
            <c:manualLayout>
              <c:x val="7.7777777777777779E-2"/>
              <c:y val="3.009259259259259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50000000000001"/>
                  <c:h val="6.25E-2"/>
                </c:manualLayout>
              </c15:layout>
            </c:ext>
          </c:extLst>
        </c:dLbl>
      </c:pivotFmt>
      <c:pivotFmt>
        <c:idx val="13"/>
        <c:spPr>
          <a:solidFill>
            <a:schemeClr val="accent1"/>
          </a:solidFill>
          <a:ln w="31750" cap="rnd">
            <a:solidFill>
              <a:schemeClr val="accent1">
                <a:alpha val="85000"/>
              </a:schemeClr>
            </a:solidFill>
            <a:round/>
          </a:ln>
          <a:effectLst/>
        </c:spPr>
        <c:marker>
          <c:symbol val="none"/>
        </c:marker>
        <c:dLbl>
          <c:idx val="0"/>
          <c:layout>
            <c:manualLayout>
              <c:x val="1.1111111111111112E-2"/>
              <c:y val="6.0185185185185182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1750" cap="rnd">
            <a:solidFill>
              <a:schemeClr val="accent1">
                <a:alpha val="85000"/>
              </a:schemeClr>
            </a:solidFill>
            <a:round/>
          </a:ln>
          <a:effectLst/>
        </c:spPr>
        <c:marker>
          <c:symbol val="none"/>
        </c:marker>
        <c:dLbl>
          <c:idx val="0"/>
          <c:layout>
            <c:manualLayout>
              <c:x val="-8.3333333333333329E-2"/>
              <c:y val="6.9444444444444364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1750" cap="rnd">
            <a:solidFill>
              <a:schemeClr val="accent1">
                <a:alpha val="85000"/>
              </a:schemeClr>
            </a:solidFill>
            <a:round/>
          </a:ln>
          <a:effectLst/>
        </c:spPr>
        <c:marker>
          <c:symbol val="none"/>
        </c:marker>
        <c:dLbl>
          <c:idx val="0"/>
          <c:layout>
            <c:manualLayout>
              <c:x val="-4.1666666666666664E-2"/>
              <c:y val="7.8703703703703706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alpha val="85000"/>
              </a:schemeClr>
            </a:solidFill>
            <a:round/>
          </a:ln>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alpha val="85000"/>
              </a:schemeClr>
            </a:solidFill>
            <a:round/>
          </a:ln>
          <a:effectLst/>
        </c:spPr>
        <c:marker>
          <c:symbol val="none"/>
        </c:marker>
        <c:dLbl>
          <c:idx val="0"/>
          <c:layout>
            <c:manualLayout>
              <c:x val="0.125"/>
              <c:y val="-3.2407407407407426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ln w="31750" cap="rnd">
            <a:solidFill>
              <a:schemeClr val="accent1">
                <a:alpha val="85000"/>
              </a:schemeClr>
            </a:solidFill>
            <a:round/>
          </a:ln>
          <a:effectLst/>
        </c:spPr>
        <c:marker>
          <c:symbol val="none"/>
        </c:marker>
        <c:dLbl>
          <c:idx val="0"/>
          <c:layout>
            <c:manualLayout>
              <c:x val="0.10833333333333334"/>
              <c:y val="5.555555555555560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ln w="31750" cap="rnd">
            <a:solidFill>
              <a:schemeClr val="accent1">
                <a:alpha val="85000"/>
              </a:schemeClr>
            </a:solidFill>
            <a:round/>
          </a:ln>
          <a:effectLst/>
        </c:spPr>
        <c:marker>
          <c:symbol val="none"/>
        </c:marker>
        <c:dLbl>
          <c:idx val="0"/>
          <c:layout>
            <c:manualLayout>
              <c:x val="6.9444444444444448E-2"/>
              <c:y val="6.944444444444444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ln w="31750" cap="rnd">
            <a:solidFill>
              <a:schemeClr val="accent1">
                <a:alpha val="85000"/>
              </a:schemeClr>
            </a:solidFill>
            <a:round/>
          </a:ln>
          <a:effectLst/>
        </c:spPr>
        <c:marker>
          <c:symbol val="none"/>
        </c:marker>
        <c:dLbl>
          <c:idx val="0"/>
          <c:layout>
            <c:manualLayout>
              <c:x val="7.7777777777777779E-2"/>
              <c:y val="3.009259259259259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50000000000001"/>
                  <c:h val="6.25E-2"/>
                </c:manualLayout>
              </c15:layout>
            </c:ext>
          </c:extLst>
        </c:dLbl>
      </c:pivotFmt>
      <c:pivotFmt>
        <c:idx val="21"/>
        <c:spPr>
          <a:ln w="31750" cap="rnd">
            <a:solidFill>
              <a:schemeClr val="accent1">
                <a:alpha val="85000"/>
              </a:schemeClr>
            </a:solidFill>
            <a:round/>
          </a:ln>
          <a:effectLst/>
        </c:spPr>
        <c:marker>
          <c:symbol val="none"/>
        </c:marker>
        <c:dLbl>
          <c:idx val="0"/>
          <c:layout>
            <c:manualLayout>
              <c:x val="1.1111111111111112E-2"/>
              <c:y val="6.0185185185185182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ln w="31750" cap="rnd">
            <a:solidFill>
              <a:schemeClr val="accent1">
                <a:alpha val="85000"/>
              </a:schemeClr>
            </a:solidFill>
            <a:round/>
          </a:ln>
          <a:effectLst/>
        </c:spPr>
        <c:marker>
          <c:symbol val="none"/>
        </c:marker>
        <c:dLbl>
          <c:idx val="0"/>
          <c:layout>
            <c:manualLayout>
              <c:x val="-8.3333333333333329E-2"/>
              <c:y val="6.9444444444444364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ln w="31750" cap="rnd">
            <a:solidFill>
              <a:schemeClr val="accent1">
                <a:alpha val="85000"/>
              </a:schemeClr>
            </a:solidFill>
            <a:round/>
          </a:ln>
          <a:effectLst/>
        </c:spPr>
        <c:marker>
          <c:symbol val="none"/>
        </c:marker>
        <c:dLbl>
          <c:idx val="0"/>
          <c:layout>
            <c:manualLayout>
              <c:x val="-4.1666666666666664E-2"/>
              <c:y val="7.8703703703703706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radarChart>
        <c:radarStyle val="marker"/>
        <c:varyColors val="0"/>
        <c:ser>
          <c:idx val="0"/>
          <c:order val="0"/>
          <c:tx>
            <c:strRef>
              <c:f>Sheet3!$B$3</c:f>
              <c:strCache>
                <c:ptCount val="1"/>
                <c:pt idx="0">
                  <c:v>Total</c:v>
                </c:pt>
              </c:strCache>
            </c:strRef>
          </c:tx>
          <c:spPr>
            <a:ln w="31750" cap="rnd">
              <a:solidFill>
                <a:schemeClr val="accent1">
                  <a:alpha val="85000"/>
                </a:schemeClr>
              </a:solidFill>
              <a:round/>
            </a:ln>
            <a:effectLst/>
          </c:spPr>
          <c:marker>
            <c:symbol val="none"/>
          </c:marker>
          <c:dPt>
            <c:idx val="0"/>
            <c:marker>
              <c:symbol val="none"/>
            </c:marker>
            <c:bubble3D val="0"/>
            <c:spPr>
              <a:ln w="31750" cap="rnd">
                <a:solidFill>
                  <a:schemeClr val="accent1">
                    <a:alpha val="85000"/>
                  </a:schemeClr>
                </a:solidFill>
                <a:round/>
              </a:ln>
              <a:effectLst/>
            </c:spPr>
          </c:dPt>
          <c:dPt>
            <c:idx val="1"/>
            <c:marker>
              <c:symbol val="none"/>
            </c:marker>
            <c:bubble3D val="0"/>
            <c:spPr>
              <a:ln w="31750" cap="rnd">
                <a:solidFill>
                  <a:schemeClr val="accent1">
                    <a:alpha val="85000"/>
                  </a:schemeClr>
                </a:solidFill>
                <a:round/>
              </a:ln>
              <a:effectLst/>
            </c:spPr>
          </c:dPt>
          <c:dPt>
            <c:idx val="2"/>
            <c:marker>
              <c:symbol val="none"/>
            </c:marker>
            <c:bubble3D val="0"/>
            <c:spPr>
              <a:ln w="31750" cap="rnd">
                <a:solidFill>
                  <a:schemeClr val="accent1">
                    <a:alpha val="85000"/>
                  </a:schemeClr>
                </a:solidFill>
                <a:round/>
              </a:ln>
              <a:effectLst/>
            </c:spPr>
          </c:dPt>
          <c:dPt>
            <c:idx val="3"/>
            <c:marker>
              <c:symbol val="none"/>
            </c:marker>
            <c:bubble3D val="0"/>
            <c:spPr>
              <a:ln w="31750" cap="rnd">
                <a:solidFill>
                  <a:schemeClr val="accent1">
                    <a:alpha val="85000"/>
                  </a:schemeClr>
                </a:solidFill>
                <a:round/>
              </a:ln>
              <a:effectLst/>
            </c:spPr>
          </c:dPt>
          <c:dPt>
            <c:idx val="4"/>
            <c:marker>
              <c:symbol val="none"/>
            </c:marker>
            <c:bubble3D val="0"/>
            <c:spPr>
              <a:ln w="31750" cap="rnd">
                <a:solidFill>
                  <a:schemeClr val="accent1">
                    <a:alpha val="85000"/>
                  </a:schemeClr>
                </a:solidFill>
                <a:round/>
              </a:ln>
              <a:effectLst/>
            </c:spPr>
          </c:dPt>
          <c:dPt>
            <c:idx val="5"/>
            <c:marker>
              <c:symbol val="none"/>
            </c:marker>
            <c:bubble3D val="0"/>
            <c:spPr>
              <a:ln w="31750" cap="rnd">
                <a:solidFill>
                  <a:schemeClr val="accent1">
                    <a:alpha val="85000"/>
                  </a:schemeClr>
                </a:solidFill>
                <a:round/>
              </a:ln>
              <a:effectLst/>
            </c:spPr>
          </c:dPt>
          <c:dPt>
            <c:idx val="6"/>
            <c:marker>
              <c:symbol val="none"/>
            </c:marker>
            <c:bubble3D val="0"/>
            <c:spPr>
              <a:ln w="31750" cap="rnd">
                <a:solidFill>
                  <a:schemeClr val="accent1">
                    <a:alpha val="85000"/>
                  </a:schemeClr>
                </a:solidFill>
                <a:round/>
              </a:ln>
              <a:effectLst/>
            </c:spPr>
          </c:dPt>
          <c:dLbls>
            <c:dLbl>
              <c:idx val="0"/>
              <c:layout>
                <c:manualLayout>
                  <c:x val="0.125"/>
                  <c:y val="-3.2407407407407426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0833333333333334"/>
                  <c:y val="5.5555555555555601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6.9444444444444448E-2"/>
                  <c:y val="6.9444444444444448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7.7777777777777779E-2"/>
                  <c:y val="3.009259259259259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50000000000001"/>
                      <c:h val="6.25E-2"/>
                    </c:manualLayout>
                  </c15:layout>
                </c:ext>
              </c:extLst>
            </c:dLbl>
            <c:dLbl>
              <c:idx val="4"/>
              <c:layout>
                <c:manualLayout>
                  <c:x val="1.1111111111111112E-2"/>
                  <c:y val="6.0185185185185182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8.3333333333333329E-2"/>
                  <c:y val="6.944444444444436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4.1666666666666664E-2"/>
                  <c:y val="7.8703703703703706E-2"/>
                </c:manualLayout>
              </c:layout>
              <c:showLegendKey val="0"/>
              <c:showVal val="1"/>
              <c:showCatName val="0"/>
              <c:showSerName val="0"/>
              <c:showPercent val="0"/>
              <c:showBubbleSize val="0"/>
              <c:extLst>
                <c:ext xmlns:c15="http://schemas.microsoft.com/office/drawing/2012/chart" uri="{CE6537A1-D6FC-4f65-9D91-7224C49458BB}">
                  <c15:layout/>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Sheet3!$A$4:$A$11</c:f>
              <c:strCache>
                <c:ptCount val="7"/>
                <c:pt idx="0">
                  <c:v>Boston</c:v>
                </c:pt>
                <c:pt idx="1">
                  <c:v>Chicago</c:v>
                </c:pt>
                <c:pt idx="2">
                  <c:v>Houston</c:v>
                </c:pt>
                <c:pt idx="3">
                  <c:v>Los Angeles</c:v>
                </c:pt>
                <c:pt idx="4">
                  <c:v>Miami</c:v>
                </c:pt>
                <c:pt idx="5">
                  <c:v>New York</c:v>
                </c:pt>
                <c:pt idx="6">
                  <c:v>Seattle</c:v>
                </c:pt>
              </c:strCache>
            </c:strRef>
          </c:cat>
          <c:val>
            <c:numRef>
              <c:f>Sheet3!$B$4:$B$11</c:f>
              <c:numCache>
                <c:formatCode>General</c:formatCode>
                <c:ptCount val="7"/>
                <c:pt idx="0">
                  <c:v>22276.020000000004</c:v>
                </c:pt>
                <c:pt idx="1">
                  <c:v>23195.26</c:v>
                </c:pt>
                <c:pt idx="2">
                  <c:v>26357.77</c:v>
                </c:pt>
                <c:pt idx="3">
                  <c:v>27180.959999999995</c:v>
                </c:pt>
                <c:pt idx="4">
                  <c:v>25269.48</c:v>
                </c:pt>
                <c:pt idx="5">
                  <c:v>23768.220000000005</c:v>
                </c:pt>
                <c:pt idx="6">
                  <c:v>28230.229999999981</c:v>
                </c:pt>
              </c:numCache>
            </c:numRef>
          </c:val>
        </c:ser>
        <c:dLbls>
          <c:showLegendKey val="0"/>
          <c:showVal val="0"/>
          <c:showCatName val="0"/>
          <c:showSerName val="0"/>
          <c:showPercent val="0"/>
          <c:showBubbleSize val="0"/>
        </c:dLbls>
        <c:axId val="308568280"/>
        <c:axId val="308569064"/>
      </c:radarChart>
      <c:catAx>
        <c:axId val="3085682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08569064"/>
        <c:crosses val="autoZero"/>
        <c:auto val="1"/>
        <c:lblAlgn val="ctr"/>
        <c:lblOffset val="100"/>
        <c:noMultiLvlLbl val="0"/>
      </c:catAx>
      <c:valAx>
        <c:axId val="3085690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crossAx val="30856828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sz="1800" b="1">
                <a:solidFill>
                  <a:srgbClr val="000000"/>
                </a:solidFill>
                <a:latin typeface="Roboto"/>
              </a:defRPr>
            </a:pPr>
            <a:r>
              <a:rPr sz="1800" b="1">
                <a:solidFill>
                  <a:srgbClr val="000000"/>
                </a:solidFill>
                <a:latin typeface="Roboto"/>
              </a:rPr>
              <a:t>Customer Type Split</a:t>
            </a:r>
          </a:p>
        </c:rich>
      </c:tx>
      <c:overlay val="0"/>
    </c:title>
    <c:autoTitleDeleted val="0"/>
    <c:plotArea>
      <c:layout/>
      <c:doughnutChart>
        <c:varyColors val="1"/>
        <c:ser>
          <c:idx val="0"/>
          <c:order val="0"/>
          <c:tx>
            <c:strRef>
              <c:f>'Pivot Table 4'!$B$1</c:f>
              <c:strCache>
                <c:ptCount val="1"/>
                <c:pt idx="0">
                  <c:v>COUNTUNIQUE of Customer ID</c:v>
                </c:pt>
              </c:strCache>
            </c:strRef>
          </c:tx>
          <c:dPt>
            <c:idx val="0"/>
            <c:bubble3D val="0"/>
            <c:spPr>
              <a:solidFill>
                <a:srgbClr val="741B47"/>
              </a:solidFill>
            </c:spPr>
          </c:dPt>
          <c:dPt>
            <c:idx val="1"/>
            <c:bubble3D val="0"/>
            <c:spPr>
              <a:solidFill>
                <a:srgbClr val="FF9900"/>
              </a:solidFill>
            </c:spPr>
          </c:dPt>
          <c:dPt>
            <c:idx val="2"/>
            <c:bubble3D val="0"/>
          </c:dPt>
          <c:cat>
            <c:strRef>
              <c:f>'Pivot Table 4'!$A$2:$A$4</c:f>
              <c:strCache>
                <c:ptCount val="2"/>
                <c:pt idx="0">
                  <c:v>New</c:v>
                </c:pt>
                <c:pt idx="1">
                  <c:v>Repeat</c:v>
                </c:pt>
              </c:strCache>
            </c:strRef>
          </c:cat>
          <c:val>
            <c:numRef>
              <c:f>'Pivot Table 4'!$B$2:$B$4</c:f>
              <c:numCache>
                <c:formatCode>General</c:formatCode>
                <c:ptCount val="2"/>
                <c:pt idx="0">
                  <c:v>196</c:v>
                </c:pt>
                <c:pt idx="1">
                  <c:v>172</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1400" b="0">
              <a:solidFill>
                <a:srgbClr val="000000"/>
              </a:solidFill>
              <a:latin typeface="Roboto"/>
            </a:defRPr>
          </a:pPr>
          <a:endParaRPr lang="en-US"/>
        </a:p>
      </c:txPr>
    </c:legend>
    <c:plotVisOnly val="1"/>
    <c:dispBlanksAs val="zero"/>
    <c:showDLblsOverMax val="1"/>
  </c:chart>
  <c:spPr>
    <a:solidFill>
      <a:srgbClr val="F6B26B"/>
    </a:solidFill>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323850</xdr:colOff>
      <xdr:row>4</xdr:row>
      <xdr:rowOff>119062</xdr:rowOff>
    </xdr:from>
    <xdr:to>
      <xdr:col>10</xdr:col>
      <xdr:colOff>19050</xdr:colOff>
      <xdr:row>21</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161925</xdr:colOff>
      <xdr:row>0</xdr:row>
      <xdr:rowOff>0</xdr:rowOff>
    </xdr:from>
    <xdr:ext cx="5715000" cy="3533775"/>
    <xdr:graphicFrame macro="">
      <xdr:nvGraphicFramePr>
        <xdr:cNvPr id="2"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923925</xdr:colOff>
      <xdr:row>0</xdr:row>
      <xdr:rowOff>0</xdr:rowOff>
    </xdr:from>
    <xdr:ext cx="5715000" cy="3533775"/>
    <xdr:graphicFrame macro="">
      <xdr:nvGraphicFramePr>
        <xdr:cNvPr id="2" name="Chart 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523875</xdr:colOff>
      <xdr:row>0</xdr:row>
      <xdr:rowOff>0</xdr:rowOff>
    </xdr:from>
    <xdr:ext cx="5715000" cy="3533775"/>
    <xdr:graphicFrame macro="">
      <xdr:nvGraphicFramePr>
        <xdr:cNvPr id="3" name="Chart 3"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66675</xdr:colOff>
      <xdr:row>0</xdr:row>
      <xdr:rowOff>0</xdr:rowOff>
    </xdr:from>
    <xdr:ext cx="5715000" cy="3533775"/>
    <xdr:graphicFrame macro="">
      <xdr:nvGraphicFramePr>
        <xdr:cNvPr id="4" name="Chart 4"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3</xdr:col>
      <xdr:colOff>266700</xdr:colOff>
      <xdr:row>1</xdr:row>
      <xdr:rowOff>38101</xdr:rowOff>
    </xdr:from>
    <xdr:ext cx="4524375" cy="2895600"/>
    <xdr:graphicFrame macro="">
      <xdr:nvGraphicFramePr>
        <xdr:cNvPr id="5" name="Chart 5"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9</xdr:col>
      <xdr:colOff>723901</xdr:colOff>
      <xdr:row>37</xdr:row>
      <xdr:rowOff>38099</xdr:rowOff>
    </xdr:from>
    <xdr:ext cx="4124324" cy="2714625"/>
    <xdr:graphicFrame macro="">
      <xdr:nvGraphicFramePr>
        <xdr:cNvPr id="6" name="Chart 6"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142875</xdr:colOff>
      <xdr:row>23</xdr:row>
      <xdr:rowOff>133350</xdr:rowOff>
    </xdr:from>
    <xdr:ext cx="3886200" cy="2609850"/>
    <xdr:graphicFrame macro="">
      <xdr:nvGraphicFramePr>
        <xdr:cNvPr id="8" name="Chart 8"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723900</xdr:colOff>
      <xdr:row>23</xdr:row>
      <xdr:rowOff>123825</xdr:rowOff>
    </xdr:from>
    <xdr:ext cx="4152900" cy="2638426"/>
    <xdr:graphicFrame macro="">
      <xdr:nvGraphicFramePr>
        <xdr:cNvPr id="9" name="Chart 9"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704849</xdr:colOff>
      <xdr:row>9</xdr:row>
      <xdr:rowOff>133350</xdr:rowOff>
    </xdr:from>
    <xdr:ext cx="4181475" cy="2733675"/>
    <xdr:graphicFrame macro="">
      <xdr:nvGraphicFramePr>
        <xdr:cNvPr id="10" name="Chart 10"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133349</xdr:colOff>
      <xdr:row>37</xdr:row>
      <xdr:rowOff>9525</xdr:rowOff>
    </xdr:from>
    <xdr:ext cx="3905251" cy="2705099"/>
    <xdr:graphicFrame macro="">
      <xdr:nvGraphicFramePr>
        <xdr:cNvPr id="12" name="Chart 1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4</xdr:col>
      <xdr:colOff>742950</xdr:colOff>
      <xdr:row>37</xdr:row>
      <xdr:rowOff>28575</xdr:rowOff>
    </xdr:from>
    <xdr:ext cx="4124325" cy="2724150"/>
    <xdr:graphicFrame macro="">
      <xdr:nvGraphicFramePr>
        <xdr:cNvPr id="13" name="Chart 13"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104775</xdr:colOff>
      <xdr:row>0</xdr:row>
      <xdr:rowOff>76200</xdr:rowOff>
    </xdr:from>
    <xdr:ext cx="12306300" cy="1809750"/>
    <xdr:grpSp>
      <xdr:nvGrpSpPr>
        <xdr:cNvPr id="5" name="Shape 2" title="Drawing"/>
        <xdr:cNvGrpSpPr/>
      </xdr:nvGrpSpPr>
      <xdr:grpSpPr>
        <a:xfrm>
          <a:off x="104775" y="76200"/>
          <a:ext cx="12306300" cy="1809750"/>
          <a:chOff x="25" y="102250"/>
          <a:chExt cx="6789925" cy="1349750"/>
        </a:xfrm>
      </xdr:grpSpPr>
      <xdr:sp macro="" textlink="">
        <xdr:nvSpPr>
          <xdr:cNvPr id="7" name="Shape 3"/>
          <xdr:cNvSpPr/>
        </xdr:nvSpPr>
        <xdr:spPr>
          <a:xfrm>
            <a:off x="25" y="102250"/>
            <a:ext cx="6789900" cy="675000"/>
          </a:xfrm>
          <a:prstGeom prst="rect">
            <a:avLst/>
          </a:prstGeom>
          <a:solidFill>
            <a:srgbClr val="B45F06"/>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4" name="Shape 4"/>
          <xdr:cNvSpPr/>
        </xdr:nvSpPr>
        <xdr:spPr>
          <a:xfrm>
            <a:off x="25" y="812645"/>
            <a:ext cx="2123165" cy="639355"/>
          </a:xfrm>
          <a:prstGeom prst="roundRect">
            <a:avLst>
              <a:gd name="adj" fmla="val 16667"/>
            </a:avLst>
          </a:prstGeom>
          <a:solidFill>
            <a:srgbClr val="1155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5" name="Shape 5"/>
          <xdr:cNvSpPr/>
        </xdr:nvSpPr>
        <xdr:spPr>
          <a:xfrm>
            <a:off x="2147375" y="812645"/>
            <a:ext cx="2382770" cy="639355"/>
          </a:xfrm>
          <a:prstGeom prst="roundRect">
            <a:avLst>
              <a:gd name="adj" fmla="val 16667"/>
            </a:avLst>
          </a:prstGeom>
          <a:solidFill>
            <a:srgbClr val="B4A7D6"/>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6" name="Shape 6"/>
          <xdr:cNvSpPr/>
        </xdr:nvSpPr>
        <xdr:spPr>
          <a:xfrm>
            <a:off x="4560650" y="819749"/>
            <a:ext cx="2229300" cy="632251"/>
          </a:xfrm>
          <a:prstGeom prst="roundRect">
            <a:avLst>
              <a:gd name="adj" fmla="val 16667"/>
            </a:avLst>
          </a:prstGeom>
          <a:solidFill>
            <a:srgbClr val="93C47D"/>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7" name="Shape 7"/>
          <xdr:cNvSpPr txBox="1"/>
        </xdr:nvSpPr>
        <xdr:spPr>
          <a:xfrm>
            <a:off x="189175" y="235300"/>
            <a:ext cx="6411600" cy="4089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2400" b="1">
                <a:solidFill>
                  <a:schemeClr val="bg1"/>
                </a:solidFill>
                <a:latin typeface="Bookman Old Style" panose="02050604050505020204" pitchFamily="18" charset="0"/>
                <a:ea typeface="Poppins"/>
                <a:cs typeface="Poppins"/>
                <a:sym typeface="Poppins"/>
              </a:rPr>
              <a:t>E-Commerce Customer Insights Dashboard</a:t>
            </a:r>
            <a:endParaRPr sz="2800" b="1">
              <a:solidFill>
                <a:schemeClr val="bg1"/>
              </a:solidFill>
              <a:latin typeface="Bookman Old Style" panose="02050604050505020204" pitchFamily="18" charset="0"/>
              <a:ea typeface="Poppins"/>
              <a:cs typeface="Poppins"/>
              <a:sym typeface="Poppins"/>
            </a:endParaRPr>
          </a:p>
        </xdr:txBody>
      </xdr:sp>
      <xdr:sp macro="" textlink="">
        <xdr:nvSpPr>
          <xdr:cNvPr id="18" name="Shape 8"/>
          <xdr:cNvSpPr txBox="1"/>
        </xdr:nvSpPr>
        <xdr:spPr>
          <a:xfrm>
            <a:off x="184050" y="900000"/>
            <a:ext cx="1738500" cy="4908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1600" b="1">
                <a:latin typeface="Bookman Old Style" panose="02050604050505020204" pitchFamily="18" charset="0"/>
                <a:ea typeface="Poppins"/>
                <a:cs typeface="Poppins"/>
                <a:sym typeface="Poppins"/>
              </a:rPr>
              <a:t>Repeat Customer %</a:t>
            </a:r>
            <a:endParaRPr sz="1600" b="1">
              <a:latin typeface="Bookman Old Style" panose="02050604050505020204" pitchFamily="18" charset="0"/>
              <a:ea typeface="Poppins"/>
              <a:cs typeface="Poppins"/>
              <a:sym typeface="Poppins"/>
            </a:endParaRPr>
          </a:p>
          <a:p>
            <a:pPr marL="0" lvl="0" indent="0" algn="ctr" rtl="0">
              <a:spcBef>
                <a:spcPts val="0"/>
              </a:spcBef>
              <a:spcAft>
                <a:spcPts val="0"/>
              </a:spcAft>
              <a:buNone/>
            </a:pPr>
            <a:r>
              <a:rPr lang="en-US" sz="1600" b="1">
                <a:latin typeface="Bookman Old Style" panose="02050604050505020204" pitchFamily="18" charset="0"/>
                <a:ea typeface="Poppins"/>
                <a:cs typeface="Poppins"/>
                <a:sym typeface="Poppins"/>
              </a:rPr>
              <a:t>96.43%</a:t>
            </a:r>
            <a:endParaRPr sz="1600" b="1">
              <a:latin typeface="Bookman Old Style" panose="02050604050505020204" pitchFamily="18" charset="0"/>
              <a:ea typeface="Poppins"/>
              <a:cs typeface="Poppins"/>
              <a:sym typeface="Poppins"/>
            </a:endParaRPr>
          </a:p>
          <a:p>
            <a:pPr marL="0" lvl="0" indent="0" algn="l" rtl="0">
              <a:spcBef>
                <a:spcPts val="0"/>
              </a:spcBef>
              <a:spcAft>
                <a:spcPts val="0"/>
              </a:spcAft>
              <a:buNone/>
            </a:pPr>
            <a:endParaRPr sz="1400"/>
          </a:p>
        </xdr:txBody>
      </xdr:sp>
      <xdr:sp macro="" textlink="">
        <xdr:nvSpPr>
          <xdr:cNvPr id="19" name="Shape 9"/>
          <xdr:cNvSpPr txBox="1"/>
        </xdr:nvSpPr>
        <xdr:spPr>
          <a:xfrm>
            <a:off x="2229175" y="900000"/>
            <a:ext cx="2168100" cy="4908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1600" b="1">
                <a:latin typeface="Bookman Old Style" panose="02050604050505020204" pitchFamily="18" charset="0"/>
                <a:ea typeface="Poppins"/>
                <a:cs typeface="Poppins"/>
                <a:sym typeface="Poppins"/>
              </a:rPr>
              <a:t>Average Order Value</a:t>
            </a:r>
            <a:endParaRPr sz="1600" b="1">
              <a:latin typeface="Bookman Old Style" panose="02050604050505020204" pitchFamily="18" charset="0"/>
              <a:ea typeface="Poppins"/>
              <a:cs typeface="Poppins"/>
              <a:sym typeface="Poppins"/>
            </a:endParaRPr>
          </a:p>
          <a:p>
            <a:pPr marL="0" lvl="0" indent="0" algn="ctr" rtl="0">
              <a:spcBef>
                <a:spcPts val="0"/>
              </a:spcBef>
              <a:spcAft>
                <a:spcPts val="0"/>
              </a:spcAft>
              <a:buNone/>
            </a:pPr>
            <a:r>
              <a:rPr lang="en-US" sz="1600" b="1">
                <a:latin typeface="Bookman Old Style" panose="02050604050505020204" pitchFamily="18" charset="0"/>
                <a:ea typeface="Poppins"/>
                <a:cs typeface="Poppins"/>
                <a:sym typeface="Poppins"/>
              </a:rPr>
              <a:t>251.8256286</a:t>
            </a:r>
            <a:endParaRPr sz="1600" b="1">
              <a:latin typeface="Bookman Old Style" panose="02050604050505020204" pitchFamily="18" charset="0"/>
              <a:ea typeface="Poppins"/>
              <a:cs typeface="Poppins"/>
              <a:sym typeface="Poppins"/>
            </a:endParaRPr>
          </a:p>
          <a:p>
            <a:pPr marL="0" lvl="0" indent="0" algn="l" rtl="0">
              <a:spcBef>
                <a:spcPts val="0"/>
              </a:spcBef>
              <a:spcAft>
                <a:spcPts val="0"/>
              </a:spcAft>
              <a:buNone/>
            </a:pPr>
            <a:endParaRPr sz="1400"/>
          </a:p>
        </xdr:txBody>
      </xdr:sp>
      <xdr:sp macro="" textlink="">
        <xdr:nvSpPr>
          <xdr:cNvPr id="20" name="Shape 10"/>
          <xdr:cNvSpPr txBox="1"/>
        </xdr:nvSpPr>
        <xdr:spPr>
          <a:xfrm>
            <a:off x="4714000" y="900000"/>
            <a:ext cx="1886700" cy="4908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1600" b="1">
                <a:latin typeface="Bookman Old Style" panose="02050604050505020204" pitchFamily="18" charset="0"/>
                <a:ea typeface="Poppins"/>
                <a:cs typeface="Poppins"/>
                <a:sym typeface="Poppins"/>
              </a:rPr>
              <a:t>Total Revenue</a:t>
            </a:r>
            <a:endParaRPr sz="1600" b="1">
              <a:latin typeface="Bookman Old Style" panose="02050604050505020204" pitchFamily="18" charset="0"/>
              <a:ea typeface="Poppins"/>
              <a:cs typeface="Poppins"/>
              <a:sym typeface="Poppins"/>
            </a:endParaRPr>
          </a:p>
          <a:p>
            <a:pPr marL="0" lvl="0" indent="0" algn="ctr" rtl="0">
              <a:spcBef>
                <a:spcPts val="0"/>
              </a:spcBef>
              <a:spcAft>
                <a:spcPts val="0"/>
              </a:spcAft>
              <a:buNone/>
            </a:pPr>
            <a:r>
              <a:rPr lang="en-US" sz="1600" b="1">
                <a:latin typeface="Bookman Old Style" panose="02050604050505020204" pitchFamily="18" charset="0"/>
                <a:ea typeface="Poppins"/>
                <a:cs typeface="Poppins"/>
                <a:sym typeface="Poppins"/>
              </a:rPr>
              <a:t>176277.94</a:t>
            </a:r>
            <a:endParaRPr sz="1800" b="1">
              <a:latin typeface="Bookman Old Style" panose="02050604050505020204" pitchFamily="18" charset="0"/>
              <a:ea typeface="Poppins"/>
              <a:cs typeface="Poppins"/>
              <a:sym typeface="Poppins"/>
            </a:endParaRPr>
          </a:p>
        </xdr:txBody>
      </xdr:sp>
    </xdr:grpSp>
    <xdr:clientData fLocksWithSheet="0"/>
  </xdr:oneCellAnchor>
  <xdr:twoCellAnchor editAs="oneCell">
    <xdr:from>
      <xdr:col>2</xdr:col>
      <xdr:colOff>466725</xdr:colOff>
      <xdr:row>9</xdr:row>
      <xdr:rowOff>133350</xdr:rowOff>
    </xdr:from>
    <xdr:to>
      <xdr:col>4</xdr:col>
      <xdr:colOff>657225</xdr:colOff>
      <xdr:row>17</xdr:row>
      <xdr:rowOff>114300</xdr:rowOff>
    </xdr:to>
    <mc:AlternateContent xmlns:mc="http://schemas.openxmlformats.org/markup-compatibility/2006" xmlns:a14="http://schemas.microsoft.com/office/drawing/2010/main">
      <mc:Choice Requires="a14">
        <xdr:graphicFrame macro="">
          <xdr:nvGraphicFramePr>
            <xdr:cNvPr id="28" name="Location 1"/>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2143125" y="1933575"/>
              <a:ext cx="1866900" cy="158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161924</xdr:colOff>
      <xdr:row>9</xdr:row>
      <xdr:rowOff>133350</xdr:rowOff>
    </xdr:from>
    <xdr:to>
      <xdr:col>2</xdr:col>
      <xdr:colOff>409575</xdr:colOff>
      <xdr:row>17</xdr:row>
      <xdr:rowOff>104775</xdr:rowOff>
    </xdr:to>
    <mc:AlternateContent xmlns:mc="http://schemas.openxmlformats.org/markup-compatibility/2006" xmlns:a14="http://schemas.microsoft.com/office/drawing/2010/main">
      <mc:Choice Requires="a14">
        <xdr:graphicFrame macro="">
          <xdr:nvGraphicFramePr>
            <xdr:cNvPr id="29"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61924" y="1933575"/>
              <a:ext cx="1924051"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17</xdr:row>
      <xdr:rowOff>152400</xdr:rowOff>
    </xdr:from>
    <xdr:to>
      <xdr:col>4</xdr:col>
      <xdr:colOff>657224</xdr:colOff>
      <xdr:row>23</xdr:row>
      <xdr:rowOff>85725</xdr:rowOff>
    </xdr:to>
    <mc:AlternateContent xmlns:mc="http://schemas.openxmlformats.org/markup-compatibility/2006" xmlns:a14="http://schemas.microsoft.com/office/drawing/2010/main">
      <mc:Choice Requires="a14">
        <xdr:graphicFrame macro="">
          <xdr:nvGraphicFramePr>
            <xdr:cNvPr id="30"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2875" y="3552825"/>
              <a:ext cx="3867149"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714375</xdr:colOff>
      <xdr:row>23</xdr:row>
      <xdr:rowOff>142875</xdr:rowOff>
    </xdr:from>
    <xdr:to>
      <xdr:col>14</xdr:col>
      <xdr:colOff>666750</xdr:colOff>
      <xdr:row>37</xdr:row>
      <xdr:rowOff>9525</xdr:rowOff>
    </xdr:to>
    <xdr:graphicFrame macro="">
      <xdr:nvGraphicFramePr>
        <xdr:cNvPr id="21"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752475</xdr:colOff>
      <xdr:row>9</xdr:row>
      <xdr:rowOff>123825</xdr:rowOff>
    </xdr:from>
    <xdr:to>
      <xdr:col>14</xdr:col>
      <xdr:colOff>666750</xdr:colOff>
      <xdr:row>23</xdr:row>
      <xdr:rowOff>76200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2</xdr:col>
      <xdr:colOff>276225</xdr:colOff>
      <xdr:row>0</xdr:row>
      <xdr:rowOff>76200</xdr:rowOff>
    </xdr:from>
    <xdr:ext cx="5715000" cy="3533775"/>
    <xdr:graphicFrame macro="">
      <xdr:nvGraphicFramePr>
        <xdr:cNvPr id="14" name="Chart 14"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361950</xdr:colOff>
      <xdr:row>0</xdr:row>
      <xdr:rowOff>104775</xdr:rowOff>
    </xdr:from>
    <xdr:ext cx="5715000" cy="3533775"/>
    <xdr:pic>
      <xdr:nvPicPr>
        <xdr:cNvPr id="805143812" name="Chart15" title="Revenue by Location">
          <a:extLs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79.492849074071" createdVersion="5" refreshedVersion="5" minRefreshableVersion="3" recordCount="702">
  <cacheSource type="worksheet">
    <worksheetSource ref="A1:K1048576" sheet="ecommerce_data"/>
  </cacheSource>
  <cacheFields count="11">
    <cacheField name="Customer ID" numFmtId="0">
      <sharedItems containsBlank="1"/>
    </cacheField>
    <cacheField name="Purchase Date" numFmtId="0">
      <sharedItems containsNonDate="0" containsDate="1" containsString="0" containsBlank="1" minDate="2025-02-22T00:00:00" maxDate="2026-02-23T00:00:00"/>
    </cacheField>
    <cacheField name="Month" numFmtId="0">
      <sharedItems containsBlank="1" count="14">
        <s v="02-2026"/>
        <s v="11-2025"/>
        <s v="05-2025"/>
        <s v="03-2025"/>
        <s v="10-2025"/>
        <s v="08-2025"/>
        <s v="04-2025"/>
        <s v="12-2025"/>
        <s v="02-2025"/>
        <s v="06-2025"/>
        <s v="01-2026"/>
        <s v="09-2025"/>
        <s v="07-2025"/>
        <m/>
      </sharedItems>
    </cacheField>
    <cacheField name="Product Category" numFmtId="0">
      <sharedItems containsBlank="1" count="6">
        <s v="Beauty"/>
        <s v="Clothing"/>
        <s v="Electronics"/>
        <s v="Sports"/>
        <s v="Home"/>
        <m/>
      </sharedItems>
    </cacheField>
    <cacheField name="Product Name" numFmtId="0">
      <sharedItems containsBlank="1"/>
    </cacheField>
    <cacheField name="Purchase Amount" numFmtId="0">
      <sharedItems containsString="0" containsBlank="1" containsNumber="1" minValue="11.25" maxValue="499.57"/>
    </cacheField>
    <cacheField name="Location" numFmtId="0">
      <sharedItems containsBlank="1" count="8">
        <s v="Houston"/>
        <s v="Seattle"/>
        <s v="Los Angeles"/>
        <s v="New York"/>
        <s v="Chicago"/>
        <s v="Boston"/>
        <s v="Miami"/>
        <m/>
      </sharedItems>
    </cacheField>
    <cacheField name="Repeat Customers" numFmtId="0">
      <sharedItems containsString="0" containsBlank="1" containsNumber="1" containsInteger="1" minValue="0" maxValue="1"/>
    </cacheField>
    <cacheField name="Orders Count" numFmtId="0">
      <sharedItems containsString="0" containsBlank="1" containsNumber="1" containsInteger="1" minValue="1" maxValue="10"/>
    </cacheField>
    <cacheField name="Customer Type" numFmtId="0">
      <sharedItems containsBlank="1"/>
    </cacheField>
    <cacheField name="Number of Customers" numFmtId="0">
      <sharedItems containsString="0" containsBlank="1" containsNumber="1" containsInteger="1" minValue="1" maxValue="42"/>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OnLoad="1" refreshedBy="Windows User" refreshedDate="46079.573157754632" refreshedVersion="5" recordCount="701">
  <cacheSource type="worksheet">
    <worksheetSource ref="A1:J1000" sheet="ecommerce_data"/>
  </cacheSource>
  <cacheFields count="10">
    <cacheField name="Customer ID" numFmtId="0">
      <sharedItems containsBlank="1"/>
    </cacheField>
    <cacheField name="Purchase Date" numFmtId="0">
      <sharedItems containsNonDate="0" containsDate="1" containsString="0" containsBlank="1" minDate="2025-02-22T00:00:00" maxDate="2026-02-23T00:00:00"/>
    </cacheField>
    <cacheField name="Month" numFmtId="0">
      <sharedItems containsBlank="1" count="14">
        <s v="02-2026"/>
        <s v="11-2025"/>
        <s v="05-2025"/>
        <s v="03-2025"/>
        <s v="10-2025"/>
        <s v="08-2025"/>
        <s v="04-2025"/>
        <s v="12-2025"/>
        <s v="02-2025"/>
        <s v="06-2025"/>
        <s v="01-2026"/>
        <s v="09-2025"/>
        <s v="07-2025"/>
        <m/>
      </sharedItems>
    </cacheField>
    <cacheField name="Product Category" numFmtId="0">
      <sharedItems containsBlank="1" count="6">
        <s v="Beauty"/>
        <s v="Clothing"/>
        <s v="Electronics"/>
        <s v="Sports"/>
        <s v="Home"/>
        <m/>
      </sharedItems>
    </cacheField>
    <cacheField name="Product Name" numFmtId="0">
      <sharedItems containsBlank="1"/>
    </cacheField>
    <cacheField name="Purchase Amount" numFmtId="0">
      <sharedItems containsString="0" containsBlank="1" containsNumber="1" minValue="11.25" maxValue="499.57"/>
    </cacheField>
    <cacheField name="Location" numFmtId="0">
      <sharedItems containsBlank="1"/>
    </cacheField>
    <cacheField name="Repeat Customers" numFmtId="0">
      <sharedItems containsString="0" containsBlank="1" containsNumber="1" containsInteger="1" minValue="0" maxValue="1"/>
    </cacheField>
    <cacheField name="Orders Count" numFmtId="0">
      <sharedItems containsString="0" containsBlank="1" containsNumber="1" containsInteger="1" minValue="1" maxValue="10"/>
    </cacheField>
    <cacheField name="Customer Typ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OnLoad="1" refreshedBy="Windows User" refreshedDate="46079.573158217594" refreshedVersion="5" recordCount="5">
  <cacheSource type="worksheet">
    <worksheetSource ref="A1:B6" sheet="Total Revenue"/>
  </cacheSource>
  <cacheFields count="2">
    <cacheField name="Product Category" numFmtId="0">
      <sharedItems count="5">
        <s v="Beauty"/>
        <s v="Clothing"/>
        <s v="Electronics"/>
        <s v="Sports"/>
        <s v="Home"/>
      </sharedItems>
    </cacheField>
    <cacheField name="Total Revenue" numFmtId="0">
      <sharedItems containsSemiMixedTypes="0" containsString="0" containsNumber="1" minValue="30151.089999999997" maxValue="3983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OnLoad="1" refreshedBy="Windows User" refreshedDate="46079.573158564817" refreshedVersion="5" recordCount="5">
  <cacheSource type="worksheet">
    <worksheetSource ref="A1:B6" sheet="Top_Customers"/>
  </cacheSource>
  <cacheFields count="2">
    <cacheField name="Customer ID" numFmtId="0">
      <sharedItems count="5">
        <s v="C183"/>
        <s v="C075"/>
        <s v="C199"/>
        <s v="C134"/>
        <s v="C006"/>
      </sharedItems>
    </cacheField>
    <cacheField name="sum Purchase Amount" numFmtId="0">
      <sharedItems containsSemiMixedTypes="0" containsString="0" containsNumber="1" minValue="1982.29" maxValue="2892.2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OnLoad="1" refreshedBy="Windows User" refreshedDate="46079.573158796295" refreshedVersion="5" recordCount="701">
  <cacheSource type="worksheet">
    <worksheetSource ref="A1:I1000" sheet="ecommerce_data"/>
  </cacheSource>
  <cacheFields count="9">
    <cacheField name="Customer ID" numFmtId="0">
      <sharedItems containsBlank="1"/>
    </cacheField>
    <cacheField name="Purchase Date" numFmtId="0">
      <sharedItems containsNonDate="0" containsDate="1" containsString="0" containsBlank="1" minDate="2025-02-22T00:00:00" maxDate="2026-02-23T00:00:00"/>
    </cacheField>
    <cacheField name="Month" numFmtId="0">
      <sharedItems containsBlank="1"/>
    </cacheField>
    <cacheField name="Product Category" numFmtId="0">
      <sharedItems containsBlank="1"/>
    </cacheField>
    <cacheField name="Product Name" numFmtId="0">
      <sharedItems containsBlank="1"/>
    </cacheField>
    <cacheField name="Purchase Amount" numFmtId="0">
      <sharedItems containsString="0" containsBlank="1" containsNumber="1" minValue="11.25" maxValue="499.57"/>
    </cacheField>
    <cacheField name="Location" numFmtId="0">
      <sharedItems containsBlank="1" count="8">
        <s v="Houston"/>
        <s v="Seattle"/>
        <s v="Los Angeles"/>
        <s v="New York"/>
        <s v="Chicago"/>
        <s v="Boston"/>
        <s v="Miami"/>
        <m/>
      </sharedItems>
    </cacheField>
    <cacheField name="Repeat Customers" numFmtId="0">
      <sharedItems containsString="0" containsBlank="1" containsNumber="1" containsInteger="1" minValue="0" maxValue="1"/>
    </cacheField>
    <cacheField name="Orders Count" numFmtId="0">
      <sharedItems containsString="0" containsBlank="1"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02">
  <r>
    <s v="C167"/>
    <d v="2026-02-15T00:00:00"/>
    <x v="0"/>
    <x v="0"/>
    <s v="Perfume"/>
    <n v="130.84"/>
    <x v="0"/>
    <n v="1"/>
    <n v="3"/>
    <s v="New"/>
    <n v="42"/>
  </r>
  <r>
    <s v="C147"/>
    <d v="2025-11-27T00:00:00"/>
    <x v="1"/>
    <x v="1"/>
    <s v="Jeans"/>
    <n v="11.25"/>
    <x v="0"/>
    <n v="1"/>
    <n v="2"/>
    <s v="New"/>
    <n v="37"/>
  </r>
  <r>
    <s v="C195"/>
    <d v="2025-05-17T00:00:00"/>
    <x v="2"/>
    <x v="1"/>
    <s v="Shoes"/>
    <n v="60.34"/>
    <x v="1"/>
    <n v="1"/>
    <n v="5"/>
    <s v="New"/>
    <n v="34"/>
  </r>
  <r>
    <s v="C178"/>
    <d v="2025-03-29T00:00:00"/>
    <x v="3"/>
    <x v="1"/>
    <s v="Jacket"/>
    <n v="455.49"/>
    <x v="2"/>
    <n v="0"/>
    <n v="1"/>
    <s v="New"/>
    <n v="24"/>
  </r>
  <r>
    <s v="C183"/>
    <d v="2025-10-09T00:00:00"/>
    <x v="4"/>
    <x v="1"/>
    <s v="Shoes"/>
    <n v="199.87"/>
    <x v="2"/>
    <n v="1"/>
    <n v="9"/>
    <s v="New"/>
    <n v="2"/>
  </r>
  <r>
    <s v="C123"/>
    <d v="2025-10-02T00:00:00"/>
    <x v="4"/>
    <x v="2"/>
    <s v="Keyboard"/>
    <n v="217.11"/>
    <x v="3"/>
    <n v="1"/>
    <n v="3"/>
    <s v="New"/>
    <n v="42"/>
  </r>
  <r>
    <s v="C183"/>
    <d v="2025-10-26T00:00:00"/>
    <x v="4"/>
    <x v="1"/>
    <s v="Jacket"/>
    <n v="49.89"/>
    <x v="3"/>
    <n v="1"/>
    <n v="9"/>
    <s v="Repeat"/>
    <n v="2"/>
  </r>
  <r>
    <s v="C033"/>
    <d v="2025-10-07T00:00:00"/>
    <x v="4"/>
    <x v="0"/>
    <s v="Shampoo"/>
    <n v="225.76"/>
    <x v="4"/>
    <n v="1"/>
    <n v="5"/>
    <s v="New"/>
    <n v="34"/>
  </r>
  <r>
    <s v="C172"/>
    <d v="2025-08-04T00:00:00"/>
    <x v="5"/>
    <x v="3"/>
    <s v="Dumbbells"/>
    <n v="332.71"/>
    <x v="5"/>
    <n v="0"/>
    <n v="1"/>
    <s v="New"/>
    <n v="24"/>
  </r>
  <r>
    <s v="C060"/>
    <d v="2025-04-12T00:00:00"/>
    <x v="6"/>
    <x v="3"/>
    <s v="Tennis Racket"/>
    <n v="88.7"/>
    <x v="1"/>
    <n v="1"/>
    <n v="3"/>
    <s v="New"/>
    <n v="42"/>
  </r>
  <r>
    <s v="C107"/>
    <d v="2025-12-29T00:00:00"/>
    <x v="7"/>
    <x v="0"/>
    <s v="Foundation"/>
    <n v="62.24"/>
    <x v="2"/>
    <n v="1"/>
    <n v="5"/>
    <s v="New"/>
    <n v="34"/>
  </r>
  <r>
    <s v="C008"/>
    <d v="2025-02-23T00:00:00"/>
    <x v="8"/>
    <x v="2"/>
    <s v="Smartphone"/>
    <n v="493.22"/>
    <x v="0"/>
    <n v="1"/>
    <n v="4"/>
    <s v="New"/>
    <n v="32"/>
  </r>
  <r>
    <s v="C091"/>
    <d v="2026-02-15T00:00:00"/>
    <x v="0"/>
    <x v="2"/>
    <s v="Headphones"/>
    <n v="104.02"/>
    <x v="3"/>
    <n v="1"/>
    <n v="5"/>
    <s v="New"/>
    <n v="34"/>
  </r>
  <r>
    <s v="C070"/>
    <d v="2025-06-25T00:00:00"/>
    <x v="9"/>
    <x v="1"/>
    <s v="Sweater"/>
    <n v="66.290000000000006"/>
    <x v="4"/>
    <n v="1"/>
    <n v="4"/>
    <s v="New"/>
    <n v="32"/>
  </r>
  <r>
    <s v="C190"/>
    <d v="2025-08-04T00:00:00"/>
    <x v="5"/>
    <x v="3"/>
    <s v="Dumbbells"/>
    <n v="478.65"/>
    <x v="1"/>
    <n v="0"/>
    <n v="1"/>
    <s v="New"/>
    <n v="24"/>
  </r>
  <r>
    <s v="C067"/>
    <d v="2025-05-18T00:00:00"/>
    <x v="2"/>
    <x v="0"/>
    <s v="Foundation"/>
    <n v="326.18"/>
    <x v="0"/>
    <n v="1"/>
    <n v="4"/>
    <s v="New"/>
    <n v="32"/>
  </r>
  <r>
    <s v="C075"/>
    <d v="2025-03-24T00:00:00"/>
    <x v="3"/>
    <x v="4"/>
    <s v="Chair"/>
    <n v="432.34"/>
    <x v="3"/>
    <n v="1"/>
    <n v="8"/>
    <s v="New"/>
    <n v="1"/>
  </r>
  <r>
    <s v="C047"/>
    <d v="2025-05-02T00:00:00"/>
    <x v="2"/>
    <x v="3"/>
    <s v="Yoga Mat"/>
    <n v="108.15"/>
    <x v="4"/>
    <n v="1"/>
    <n v="3"/>
    <s v="New"/>
    <n v="42"/>
  </r>
  <r>
    <s v="C023"/>
    <d v="2025-04-23T00:00:00"/>
    <x v="6"/>
    <x v="2"/>
    <s v="Smartphone"/>
    <n v="267.75"/>
    <x v="0"/>
    <n v="1"/>
    <n v="5"/>
    <s v="New"/>
    <n v="34"/>
  </r>
  <r>
    <s v="C001"/>
    <d v="2025-08-22T00:00:00"/>
    <x v="5"/>
    <x v="2"/>
    <s v="Keyboard"/>
    <n v="117.93"/>
    <x v="0"/>
    <n v="1"/>
    <n v="4"/>
    <s v="New"/>
    <n v="32"/>
  </r>
  <r>
    <s v="C182"/>
    <d v="2025-03-24T00:00:00"/>
    <x v="3"/>
    <x v="3"/>
    <s v="Soccer Ball"/>
    <n v="288.33999999999997"/>
    <x v="5"/>
    <n v="1"/>
    <n v="3"/>
    <s v="New"/>
    <n v="42"/>
  </r>
  <r>
    <s v="C075"/>
    <d v="2025-10-07T00:00:00"/>
    <x v="4"/>
    <x v="0"/>
    <s v="Lipstick"/>
    <n v="146.52000000000001"/>
    <x v="2"/>
    <n v="1"/>
    <n v="8"/>
    <s v="Repeat"/>
    <n v="1"/>
  </r>
  <r>
    <s v="C100"/>
    <d v="2025-05-12T00:00:00"/>
    <x v="2"/>
    <x v="3"/>
    <s v="Soccer Ball"/>
    <n v="80.819999999999993"/>
    <x v="2"/>
    <n v="1"/>
    <n v="2"/>
    <s v="New"/>
    <n v="37"/>
  </r>
  <r>
    <s v="C025"/>
    <d v="2025-04-27T00:00:00"/>
    <x v="6"/>
    <x v="1"/>
    <s v="Shoes"/>
    <n v="406.37"/>
    <x v="5"/>
    <n v="1"/>
    <n v="6"/>
    <s v="New"/>
    <n v="19"/>
  </r>
  <r>
    <s v="C040"/>
    <d v="2026-01-29T00:00:00"/>
    <x v="10"/>
    <x v="2"/>
    <s v="Keyboard"/>
    <n v="410.52"/>
    <x v="0"/>
    <n v="1"/>
    <n v="4"/>
    <s v="New"/>
    <n v="32"/>
  </r>
  <r>
    <s v="C101"/>
    <d v="2025-10-29T00:00:00"/>
    <x v="4"/>
    <x v="3"/>
    <s v="Soccer Ball"/>
    <n v="87.88"/>
    <x v="3"/>
    <n v="1"/>
    <n v="6"/>
    <s v="New"/>
    <n v="19"/>
  </r>
  <r>
    <s v="C031"/>
    <d v="2025-12-10T00:00:00"/>
    <x v="7"/>
    <x v="1"/>
    <s v="Sweater"/>
    <n v="387.1"/>
    <x v="2"/>
    <n v="1"/>
    <n v="5"/>
    <s v="New"/>
    <n v="34"/>
  </r>
  <r>
    <s v="C008"/>
    <d v="2025-08-21T00:00:00"/>
    <x v="5"/>
    <x v="1"/>
    <s v="T-shirt"/>
    <n v="467.51"/>
    <x v="3"/>
    <n v="1"/>
    <n v="4"/>
    <s v="Repeat"/>
    <n v="32"/>
  </r>
  <r>
    <s v="C136"/>
    <d v="2025-05-07T00:00:00"/>
    <x v="2"/>
    <x v="0"/>
    <s v="Foundation"/>
    <n v="466.89"/>
    <x v="1"/>
    <n v="1"/>
    <n v="3"/>
    <s v="New"/>
    <n v="42"/>
  </r>
  <r>
    <s v="C194"/>
    <d v="2025-03-18T00:00:00"/>
    <x v="3"/>
    <x v="4"/>
    <s v="Toaster"/>
    <n v="351.58"/>
    <x v="0"/>
    <n v="1"/>
    <n v="7"/>
    <s v="New"/>
    <n v="4"/>
  </r>
  <r>
    <s v="C005"/>
    <d v="2025-09-10T00:00:00"/>
    <x v="11"/>
    <x v="0"/>
    <s v="Lipstick"/>
    <n v="187.71"/>
    <x v="6"/>
    <n v="1"/>
    <n v="4"/>
    <s v="New"/>
    <n v="32"/>
  </r>
  <r>
    <s v="C069"/>
    <d v="2025-08-11T00:00:00"/>
    <x v="5"/>
    <x v="4"/>
    <s v="Lamp"/>
    <n v="330.98"/>
    <x v="4"/>
    <n v="1"/>
    <n v="7"/>
    <s v="New"/>
    <n v="4"/>
  </r>
  <r>
    <s v="C056"/>
    <d v="2025-03-02T00:00:00"/>
    <x v="3"/>
    <x v="2"/>
    <s v="Mouse"/>
    <n v="345.51"/>
    <x v="1"/>
    <n v="1"/>
    <n v="3"/>
    <s v="New"/>
    <n v="42"/>
  </r>
  <r>
    <s v="C183"/>
    <d v="2025-03-23T00:00:00"/>
    <x v="3"/>
    <x v="2"/>
    <s v="Smartphone"/>
    <n v="437.67"/>
    <x v="3"/>
    <n v="1"/>
    <n v="9"/>
    <s v="Repeat"/>
    <n v="2"/>
  </r>
  <r>
    <s v="C010"/>
    <d v="2025-10-06T00:00:00"/>
    <x v="4"/>
    <x v="1"/>
    <s v="Jacket"/>
    <n v="116.58"/>
    <x v="2"/>
    <n v="1"/>
    <n v="3"/>
    <s v="New"/>
    <n v="42"/>
  </r>
  <r>
    <s v="C026"/>
    <d v="2025-07-27T00:00:00"/>
    <x v="12"/>
    <x v="3"/>
    <s v="Dumbbells"/>
    <n v="120.01"/>
    <x v="4"/>
    <n v="1"/>
    <n v="3"/>
    <s v="New"/>
    <n v="42"/>
  </r>
  <r>
    <s v="C180"/>
    <d v="2025-09-10T00:00:00"/>
    <x v="11"/>
    <x v="4"/>
    <s v="Toaster"/>
    <n v="55.22"/>
    <x v="0"/>
    <n v="1"/>
    <n v="6"/>
    <s v="New"/>
    <n v="19"/>
  </r>
  <r>
    <s v="C049"/>
    <d v="2026-02-09T00:00:00"/>
    <x v="0"/>
    <x v="4"/>
    <s v="Chair"/>
    <n v="77.56"/>
    <x v="5"/>
    <n v="1"/>
    <n v="4"/>
    <s v="New"/>
    <n v="32"/>
  </r>
  <r>
    <s v="C067"/>
    <d v="2025-11-21T00:00:00"/>
    <x v="1"/>
    <x v="2"/>
    <s v="Keyboard"/>
    <n v="426.31"/>
    <x v="1"/>
    <n v="1"/>
    <n v="4"/>
    <s v="Repeat"/>
    <n v="32"/>
  </r>
  <r>
    <s v="C089"/>
    <d v="2026-02-01T00:00:00"/>
    <x v="0"/>
    <x v="1"/>
    <s v="Sweater"/>
    <n v="393.11"/>
    <x v="6"/>
    <n v="1"/>
    <n v="3"/>
    <s v="New"/>
    <n v="42"/>
  </r>
  <r>
    <s v="C018"/>
    <d v="2025-03-25T00:00:00"/>
    <x v="3"/>
    <x v="1"/>
    <s v="Sweater"/>
    <n v="186.77"/>
    <x v="0"/>
    <n v="1"/>
    <n v="6"/>
    <s v="New"/>
    <n v="19"/>
  </r>
  <r>
    <s v="C057"/>
    <d v="2025-09-14T00:00:00"/>
    <x v="11"/>
    <x v="3"/>
    <s v="Yoga Mat"/>
    <n v="145.19"/>
    <x v="4"/>
    <n v="1"/>
    <n v="10"/>
    <s v="New"/>
    <n v="1"/>
  </r>
  <r>
    <s v="C139"/>
    <d v="2025-05-06T00:00:00"/>
    <x v="2"/>
    <x v="3"/>
    <s v="Soccer Ball"/>
    <n v="47.74"/>
    <x v="0"/>
    <n v="1"/>
    <n v="5"/>
    <s v="New"/>
    <n v="34"/>
  </r>
  <r>
    <s v="C132"/>
    <d v="2025-08-07T00:00:00"/>
    <x v="5"/>
    <x v="2"/>
    <s v="Mouse"/>
    <n v="218.4"/>
    <x v="0"/>
    <n v="1"/>
    <n v="4"/>
    <s v="New"/>
    <n v="32"/>
  </r>
  <r>
    <s v="C158"/>
    <d v="2025-04-02T00:00:00"/>
    <x v="6"/>
    <x v="0"/>
    <s v="Lipstick"/>
    <n v="342.03"/>
    <x v="5"/>
    <n v="1"/>
    <n v="5"/>
    <s v="New"/>
    <n v="34"/>
  </r>
  <r>
    <s v="C171"/>
    <d v="2026-01-04T00:00:00"/>
    <x v="10"/>
    <x v="2"/>
    <s v="Smartphone"/>
    <n v="199.54"/>
    <x v="5"/>
    <n v="1"/>
    <n v="3"/>
    <s v="New"/>
    <n v="42"/>
  </r>
  <r>
    <s v="C199"/>
    <d v="2025-09-29T00:00:00"/>
    <x v="11"/>
    <x v="2"/>
    <s v="Laptop"/>
    <n v="466.63"/>
    <x v="0"/>
    <n v="1"/>
    <n v="7"/>
    <s v="New"/>
    <n v="4"/>
  </r>
  <r>
    <s v="C106"/>
    <d v="2025-09-29T00:00:00"/>
    <x v="11"/>
    <x v="0"/>
    <s v="Perfume"/>
    <n v="278.2"/>
    <x v="4"/>
    <n v="1"/>
    <n v="5"/>
    <s v="New"/>
    <n v="34"/>
  </r>
  <r>
    <s v="C185"/>
    <d v="2026-01-21T00:00:00"/>
    <x v="10"/>
    <x v="2"/>
    <s v="Keyboard"/>
    <n v="397.06"/>
    <x v="1"/>
    <n v="1"/>
    <n v="2"/>
    <s v="New"/>
    <n v="37"/>
  </r>
  <r>
    <s v="C159"/>
    <d v="2025-09-01T00:00:00"/>
    <x v="11"/>
    <x v="2"/>
    <s v="Laptop"/>
    <n v="70.94"/>
    <x v="4"/>
    <n v="1"/>
    <n v="5"/>
    <s v="New"/>
    <n v="34"/>
  </r>
  <r>
    <s v="C060"/>
    <d v="2026-02-21T00:00:00"/>
    <x v="0"/>
    <x v="2"/>
    <s v="Smartphone"/>
    <n v="71.709999999999994"/>
    <x v="3"/>
    <n v="1"/>
    <n v="3"/>
    <s v="Repeat"/>
    <n v="42"/>
  </r>
  <r>
    <s v="C166"/>
    <d v="2025-04-08T00:00:00"/>
    <x v="6"/>
    <x v="3"/>
    <s v="Yoga Mat"/>
    <n v="355.51"/>
    <x v="6"/>
    <n v="0"/>
    <n v="1"/>
    <s v="New"/>
    <n v="24"/>
  </r>
  <r>
    <s v="C043"/>
    <d v="2025-12-25T00:00:00"/>
    <x v="7"/>
    <x v="2"/>
    <s v="Smartphone"/>
    <n v="222.49"/>
    <x v="5"/>
    <n v="1"/>
    <n v="6"/>
    <s v="New"/>
    <n v="19"/>
  </r>
  <r>
    <s v="C183"/>
    <d v="2026-01-23T00:00:00"/>
    <x v="10"/>
    <x v="3"/>
    <s v="Sneakers"/>
    <n v="427.64"/>
    <x v="4"/>
    <n v="1"/>
    <n v="9"/>
    <s v="Repeat"/>
    <n v="2"/>
  </r>
  <r>
    <s v="C141"/>
    <d v="2025-03-27T00:00:00"/>
    <x v="3"/>
    <x v="2"/>
    <s v="Headphones"/>
    <n v="171.76"/>
    <x v="5"/>
    <n v="1"/>
    <n v="2"/>
    <s v="New"/>
    <n v="37"/>
  </r>
  <r>
    <s v="C161"/>
    <d v="2025-09-03T00:00:00"/>
    <x v="11"/>
    <x v="0"/>
    <s v="Lotion"/>
    <n v="354.04"/>
    <x v="2"/>
    <n v="1"/>
    <n v="5"/>
    <s v="New"/>
    <n v="34"/>
  </r>
  <r>
    <s v="C057"/>
    <d v="2025-06-23T00:00:00"/>
    <x v="9"/>
    <x v="1"/>
    <s v="Sweater"/>
    <n v="239.36"/>
    <x v="1"/>
    <n v="1"/>
    <n v="10"/>
    <s v="Repeat"/>
    <n v="1"/>
  </r>
  <r>
    <s v="C122"/>
    <d v="2025-12-17T00:00:00"/>
    <x v="7"/>
    <x v="2"/>
    <s v="Smartphone"/>
    <n v="215.77"/>
    <x v="3"/>
    <n v="1"/>
    <n v="5"/>
    <s v="New"/>
    <n v="34"/>
  </r>
  <r>
    <s v="C010"/>
    <d v="2026-02-21T00:00:00"/>
    <x v="0"/>
    <x v="3"/>
    <s v="Tennis Racket"/>
    <n v="330.4"/>
    <x v="3"/>
    <n v="1"/>
    <n v="3"/>
    <s v="Repeat"/>
    <n v="42"/>
  </r>
  <r>
    <s v="C107"/>
    <d v="2026-02-18T00:00:00"/>
    <x v="0"/>
    <x v="1"/>
    <s v="Jacket"/>
    <n v="386.13"/>
    <x v="5"/>
    <n v="1"/>
    <n v="5"/>
    <s v="Repeat"/>
    <n v="34"/>
  </r>
  <r>
    <s v="C195"/>
    <d v="2025-12-06T00:00:00"/>
    <x v="7"/>
    <x v="3"/>
    <s v="Tennis Racket"/>
    <n v="333.88"/>
    <x v="5"/>
    <n v="1"/>
    <n v="5"/>
    <s v="Repeat"/>
    <n v="34"/>
  </r>
  <r>
    <s v="C170"/>
    <d v="2025-04-28T00:00:00"/>
    <x v="6"/>
    <x v="0"/>
    <s v="Foundation"/>
    <n v="139.87"/>
    <x v="3"/>
    <n v="1"/>
    <n v="4"/>
    <s v="New"/>
    <n v="32"/>
  </r>
  <r>
    <s v="C179"/>
    <d v="2025-09-14T00:00:00"/>
    <x v="11"/>
    <x v="2"/>
    <s v="Laptop"/>
    <n v="247.72"/>
    <x v="0"/>
    <n v="1"/>
    <n v="3"/>
    <s v="New"/>
    <n v="42"/>
  </r>
  <r>
    <s v="C112"/>
    <d v="2025-08-19T00:00:00"/>
    <x v="5"/>
    <x v="4"/>
    <s v="Blender"/>
    <n v="27.36"/>
    <x v="0"/>
    <n v="1"/>
    <n v="6"/>
    <s v="New"/>
    <n v="19"/>
  </r>
  <r>
    <s v="C143"/>
    <d v="2025-12-20T00:00:00"/>
    <x v="7"/>
    <x v="3"/>
    <s v="Tennis Racket"/>
    <n v="84.45"/>
    <x v="3"/>
    <n v="1"/>
    <n v="5"/>
    <s v="New"/>
    <n v="34"/>
  </r>
  <r>
    <s v="C074"/>
    <d v="2025-06-10T00:00:00"/>
    <x v="9"/>
    <x v="0"/>
    <s v="Lipstick"/>
    <n v="455.78"/>
    <x v="2"/>
    <n v="1"/>
    <n v="2"/>
    <s v="New"/>
    <n v="37"/>
  </r>
  <r>
    <s v="C041"/>
    <d v="2025-12-11T00:00:00"/>
    <x v="7"/>
    <x v="3"/>
    <s v="Soccer Ball"/>
    <n v="51.83"/>
    <x v="5"/>
    <n v="1"/>
    <n v="4"/>
    <s v="New"/>
    <n v="32"/>
  </r>
  <r>
    <s v="C158"/>
    <d v="2025-06-02T00:00:00"/>
    <x v="9"/>
    <x v="1"/>
    <s v="Shoes"/>
    <n v="83.13"/>
    <x v="1"/>
    <n v="1"/>
    <n v="5"/>
    <s v="Repeat"/>
    <n v="34"/>
  </r>
  <r>
    <s v="C161"/>
    <d v="2025-04-02T00:00:00"/>
    <x v="6"/>
    <x v="4"/>
    <s v="Toaster"/>
    <n v="366.63"/>
    <x v="3"/>
    <n v="1"/>
    <n v="5"/>
    <s v="Repeat"/>
    <n v="34"/>
  </r>
  <r>
    <s v="C117"/>
    <d v="2025-04-02T00:00:00"/>
    <x v="6"/>
    <x v="0"/>
    <s v="Perfume"/>
    <n v="206.96"/>
    <x v="3"/>
    <n v="1"/>
    <n v="5"/>
    <s v="New"/>
    <n v="34"/>
  </r>
  <r>
    <s v="C099"/>
    <d v="2025-04-23T00:00:00"/>
    <x v="6"/>
    <x v="3"/>
    <s v="Soccer Ball"/>
    <n v="410.43"/>
    <x v="1"/>
    <n v="1"/>
    <n v="3"/>
    <s v="New"/>
    <n v="42"/>
  </r>
  <r>
    <s v="C009"/>
    <d v="2025-06-14T00:00:00"/>
    <x v="9"/>
    <x v="0"/>
    <s v="Lipstick"/>
    <n v="19.809999999999999"/>
    <x v="3"/>
    <n v="1"/>
    <n v="2"/>
    <s v="New"/>
    <n v="37"/>
  </r>
  <r>
    <s v="C094"/>
    <d v="2025-12-01T00:00:00"/>
    <x v="7"/>
    <x v="3"/>
    <s v="Soccer Ball"/>
    <n v="372.18"/>
    <x v="1"/>
    <n v="1"/>
    <n v="4"/>
    <s v="New"/>
    <n v="32"/>
  </r>
  <r>
    <s v="C043"/>
    <d v="2025-04-12T00:00:00"/>
    <x v="6"/>
    <x v="1"/>
    <s v="T-shirt"/>
    <n v="182.25"/>
    <x v="6"/>
    <n v="1"/>
    <n v="6"/>
    <s v="Repeat"/>
    <n v="19"/>
  </r>
  <r>
    <s v="C033"/>
    <d v="2025-07-25T00:00:00"/>
    <x v="12"/>
    <x v="2"/>
    <s v="Laptop"/>
    <n v="394.2"/>
    <x v="6"/>
    <n v="1"/>
    <n v="5"/>
    <s v="Repeat"/>
    <n v="34"/>
  </r>
  <r>
    <s v="C116"/>
    <d v="2025-09-07T00:00:00"/>
    <x v="11"/>
    <x v="1"/>
    <s v="Sweater"/>
    <n v="336.64"/>
    <x v="5"/>
    <n v="1"/>
    <n v="2"/>
    <s v="New"/>
    <n v="37"/>
  </r>
  <r>
    <s v="C109"/>
    <d v="2025-06-09T00:00:00"/>
    <x v="9"/>
    <x v="2"/>
    <s v="Laptop"/>
    <n v="166.19"/>
    <x v="0"/>
    <n v="1"/>
    <n v="4"/>
    <s v="New"/>
    <n v="32"/>
  </r>
  <r>
    <s v="C048"/>
    <d v="2026-01-19T00:00:00"/>
    <x v="10"/>
    <x v="0"/>
    <s v="Lipstick"/>
    <n v="272.55"/>
    <x v="4"/>
    <n v="1"/>
    <n v="2"/>
    <s v="New"/>
    <n v="37"/>
  </r>
  <r>
    <s v="C182"/>
    <d v="2025-12-02T00:00:00"/>
    <x v="7"/>
    <x v="3"/>
    <s v="Yoga Mat"/>
    <n v="413.14"/>
    <x v="4"/>
    <n v="1"/>
    <n v="3"/>
    <s v="Repeat"/>
    <n v="42"/>
  </r>
  <r>
    <s v="C098"/>
    <d v="2025-05-02T00:00:00"/>
    <x v="2"/>
    <x v="3"/>
    <s v="Tennis Racket"/>
    <n v="142.74"/>
    <x v="1"/>
    <n v="1"/>
    <n v="2"/>
    <s v="New"/>
    <n v="37"/>
  </r>
  <r>
    <s v="C079"/>
    <d v="2026-01-17T00:00:00"/>
    <x v="10"/>
    <x v="4"/>
    <s v="Lamp"/>
    <n v="176.78"/>
    <x v="2"/>
    <n v="1"/>
    <n v="3"/>
    <s v="New"/>
    <n v="42"/>
  </r>
  <r>
    <s v="C057"/>
    <d v="2026-01-13T00:00:00"/>
    <x v="10"/>
    <x v="2"/>
    <s v="Laptop"/>
    <n v="229.67"/>
    <x v="6"/>
    <n v="1"/>
    <n v="10"/>
    <s v="Repeat"/>
    <n v="1"/>
  </r>
  <r>
    <s v="C042"/>
    <d v="2025-08-27T00:00:00"/>
    <x v="5"/>
    <x v="2"/>
    <s v="Laptop"/>
    <n v="61.18"/>
    <x v="2"/>
    <n v="1"/>
    <n v="3"/>
    <s v="New"/>
    <n v="42"/>
  </r>
  <r>
    <s v="C081"/>
    <d v="2025-09-27T00:00:00"/>
    <x v="11"/>
    <x v="1"/>
    <s v="Jacket"/>
    <n v="203.03"/>
    <x v="5"/>
    <n v="1"/>
    <n v="4"/>
    <s v="New"/>
    <n v="32"/>
  </r>
  <r>
    <s v="C199"/>
    <d v="2025-03-12T00:00:00"/>
    <x v="3"/>
    <x v="3"/>
    <s v="Tennis Racket"/>
    <n v="119.44"/>
    <x v="4"/>
    <n v="1"/>
    <n v="7"/>
    <s v="Repeat"/>
    <n v="4"/>
  </r>
  <r>
    <s v="C192"/>
    <d v="2025-07-29T00:00:00"/>
    <x v="12"/>
    <x v="1"/>
    <s v="Jacket"/>
    <n v="150.44"/>
    <x v="0"/>
    <n v="1"/>
    <n v="7"/>
    <s v="New"/>
    <n v="4"/>
  </r>
  <r>
    <s v="C024"/>
    <d v="2025-08-12T00:00:00"/>
    <x v="5"/>
    <x v="2"/>
    <s v="Smartphone"/>
    <n v="494.26"/>
    <x v="6"/>
    <n v="1"/>
    <n v="3"/>
    <s v="New"/>
    <n v="42"/>
  </r>
  <r>
    <s v="C192"/>
    <d v="2025-11-30T00:00:00"/>
    <x v="1"/>
    <x v="4"/>
    <s v="Toaster"/>
    <n v="217.16"/>
    <x v="2"/>
    <n v="1"/>
    <n v="7"/>
    <s v="Repeat"/>
    <n v="4"/>
  </r>
  <r>
    <s v="C092"/>
    <d v="2025-10-22T00:00:00"/>
    <x v="4"/>
    <x v="1"/>
    <s v="Jacket"/>
    <n v="468.53"/>
    <x v="1"/>
    <n v="1"/>
    <n v="5"/>
    <s v="New"/>
    <n v="34"/>
  </r>
  <r>
    <s v="C019"/>
    <d v="2025-10-30T00:00:00"/>
    <x v="4"/>
    <x v="0"/>
    <s v="Lotion"/>
    <n v="110.73"/>
    <x v="6"/>
    <n v="1"/>
    <n v="6"/>
    <s v="New"/>
    <n v="19"/>
  </r>
  <r>
    <s v="C037"/>
    <d v="2025-02-26T00:00:00"/>
    <x v="8"/>
    <x v="3"/>
    <s v="Sneakers"/>
    <n v="101.45"/>
    <x v="0"/>
    <n v="1"/>
    <n v="5"/>
    <s v="New"/>
    <n v="34"/>
  </r>
  <r>
    <s v="C169"/>
    <d v="2025-04-07T00:00:00"/>
    <x v="6"/>
    <x v="2"/>
    <s v="Mouse"/>
    <n v="122.61"/>
    <x v="1"/>
    <n v="1"/>
    <n v="5"/>
    <s v="New"/>
    <n v="34"/>
  </r>
  <r>
    <s v="C194"/>
    <d v="2025-03-15T00:00:00"/>
    <x v="3"/>
    <x v="3"/>
    <s v="Soccer Ball"/>
    <n v="198.81"/>
    <x v="4"/>
    <n v="1"/>
    <n v="7"/>
    <s v="Repeat"/>
    <n v="4"/>
  </r>
  <r>
    <s v="C078"/>
    <d v="2025-07-05T00:00:00"/>
    <x v="12"/>
    <x v="3"/>
    <s v="Tennis Racket"/>
    <n v="350.08"/>
    <x v="2"/>
    <n v="1"/>
    <n v="5"/>
    <s v="New"/>
    <n v="34"/>
  </r>
  <r>
    <s v="C036"/>
    <d v="2025-09-09T00:00:00"/>
    <x v="11"/>
    <x v="2"/>
    <s v="Headphones"/>
    <n v="170.16"/>
    <x v="3"/>
    <n v="1"/>
    <n v="4"/>
    <s v="New"/>
    <n v="32"/>
  </r>
  <r>
    <s v="C163"/>
    <d v="2025-03-17T00:00:00"/>
    <x v="3"/>
    <x v="0"/>
    <s v="Lipstick"/>
    <n v="94.81"/>
    <x v="0"/>
    <n v="0"/>
    <n v="1"/>
    <s v="New"/>
    <n v="24"/>
  </r>
  <r>
    <s v="C101"/>
    <d v="2025-05-27T00:00:00"/>
    <x v="2"/>
    <x v="3"/>
    <s v="Yoga Mat"/>
    <n v="398.3"/>
    <x v="5"/>
    <n v="1"/>
    <n v="6"/>
    <s v="Repeat"/>
    <n v="19"/>
  </r>
  <r>
    <s v="C084"/>
    <d v="2025-12-12T00:00:00"/>
    <x v="7"/>
    <x v="0"/>
    <s v="Perfume"/>
    <n v="468.62"/>
    <x v="2"/>
    <n v="1"/>
    <n v="5"/>
    <s v="New"/>
    <n v="34"/>
  </r>
  <r>
    <s v="C161"/>
    <d v="2025-08-20T00:00:00"/>
    <x v="5"/>
    <x v="4"/>
    <s v="Chair"/>
    <n v="27.69"/>
    <x v="3"/>
    <n v="1"/>
    <n v="5"/>
    <s v="Repeat"/>
    <n v="34"/>
  </r>
  <r>
    <s v="C044"/>
    <d v="2025-11-26T00:00:00"/>
    <x v="1"/>
    <x v="0"/>
    <s v="Shampoo"/>
    <n v="373.87"/>
    <x v="1"/>
    <n v="1"/>
    <n v="3"/>
    <s v="New"/>
    <n v="42"/>
  </r>
  <r>
    <s v="C001"/>
    <d v="2025-12-25T00:00:00"/>
    <x v="7"/>
    <x v="0"/>
    <s v="Perfume"/>
    <n v="413.98"/>
    <x v="6"/>
    <n v="1"/>
    <n v="4"/>
    <s v="Repeat"/>
    <n v="32"/>
  </r>
  <r>
    <s v="C020"/>
    <d v="2025-03-18T00:00:00"/>
    <x v="3"/>
    <x v="2"/>
    <s v="Smartphone"/>
    <n v="340.65"/>
    <x v="0"/>
    <n v="1"/>
    <n v="5"/>
    <s v="New"/>
    <n v="34"/>
  </r>
  <r>
    <s v="C006"/>
    <d v="2025-09-26T00:00:00"/>
    <x v="11"/>
    <x v="0"/>
    <s v="Shampoo"/>
    <n v="393.06"/>
    <x v="2"/>
    <n v="1"/>
    <n v="6"/>
    <s v="New"/>
    <n v="19"/>
  </r>
  <r>
    <s v="C113"/>
    <d v="2025-05-12T00:00:00"/>
    <x v="2"/>
    <x v="3"/>
    <s v="Tennis Racket"/>
    <n v="198.62"/>
    <x v="6"/>
    <n v="1"/>
    <n v="5"/>
    <s v="New"/>
    <n v="34"/>
  </r>
  <r>
    <s v="C187"/>
    <d v="2025-11-09T00:00:00"/>
    <x v="1"/>
    <x v="2"/>
    <s v="Headphones"/>
    <n v="13.02"/>
    <x v="3"/>
    <n v="1"/>
    <n v="5"/>
    <s v="New"/>
    <n v="34"/>
  </r>
  <r>
    <s v="C194"/>
    <d v="2026-01-01T00:00:00"/>
    <x v="10"/>
    <x v="2"/>
    <s v="Headphones"/>
    <n v="65.709999999999994"/>
    <x v="6"/>
    <n v="1"/>
    <n v="7"/>
    <s v="Repeat"/>
    <n v="4"/>
  </r>
  <r>
    <s v="C056"/>
    <d v="2025-05-14T00:00:00"/>
    <x v="2"/>
    <x v="1"/>
    <s v="Shoes"/>
    <n v="72.489999999999995"/>
    <x v="3"/>
    <n v="1"/>
    <n v="3"/>
    <s v="Repeat"/>
    <n v="42"/>
  </r>
  <r>
    <s v="C099"/>
    <d v="2025-05-15T00:00:00"/>
    <x v="2"/>
    <x v="0"/>
    <s v="Shampoo"/>
    <n v="16.510000000000002"/>
    <x v="6"/>
    <n v="1"/>
    <n v="3"/>
    <s v="Repeat"/>
    <n v="42"/>
  </r>
  <r>
    <s v="C097"/>
    <d v="2025-06-05T00:00:00"/>
    <x v="9"/>
    <x v="2"/>
    <s v="Mouse"/>
    <n v="468.9"/>
    <x v="0"/>
    <n v="1"/>
    <n v="2"/>
    <s v="New"/>
    <n v="37"/>
  </r>
  <r>
    <s v="C117"/>
    <d v="2025-07-15T00:00:00"/>
    <x v="12"/>
    <x v="0"/>
    <s v="Perfume"/>
    <n v="492.14"/>
    <x v="6"/>
    <n v="1"/>
    <n v="5"/>
    <s v="Repeat"/>
    <n v="34"/>
  </r>
  <r>
    <s v="C092"/>
    <d v="2026-01-11T00:00:00"/>
    <x v="10"/>
    <x v="2"/>
    <s v="Laptop"/>
    <n v="57.01"/>
    <x v="2"/>
    <n v="1"/>
    <n v="5"/>
    <s v="Repeat"/>
    <n v="34"/>
  </r>
  <r>
    <s v="C152"/>
    <d v="2026-02-20T00:00:00"/>
    <x v="0"/>
    <x v="1"/>
    <s v="Shoes"/>
    <n v="451.77"/>
    <x v="3"/>
    <n v="1"/>
    <n v="4"/>
    <s v="New"/>
    <n v="32"/>
  </r>
  <r>
    <s v="C117"/>
    <d v="2025-09-21T00:00:00"/>
    <x v="11"/>
    <x v="4"/>
    <s v="Lamp"/>
    <n v="197.98"/>
    <x v="6"/>
    <n v="1"/>
    <n v="5"/>
    <s v="Repeat"/>
    <n v="34"/>
  </r>
  <r>
    <s v="C063"/>
    <d v="2026-02-01T00:00:00"/>
    <x v="0"/>
    <x v="0"/>
    <s v="Lipstick"/>
    <n v="450.25"/>
    <x v="2"/>
    <n v="1"/>
    <n v="4"/>
    <s v="New"/>
    <n v="32"/>
  </r>
  <r>
    <s v="C019"/>
    <d v="2026-01-13T00:00:00"/>
    <x v="10"/>
    <x v="4"/>
    <s v="Blender"/>
    <n v="144.99"/>
    <x v="1"/>
    <n v="1"/>
    <n v="6"/>
    <s v="Repeat"/>
    <n v="19"/>
  </r>
  <r>
    <s v="C114"/>
    <d v="2025-04-15T00:00:00"/>
    <x v="6"/>
    <x v="0"/>
    <s v="Lotion"/>
    <n v="123.6"/>
    <x v="4"/>
    <n v="1"/>
    <n v="4"/>
    <s v="New"/>
    <n v="32"/>
  </r>
  <r>
    <s v="C171"/>
    <d v="2025-06-08T00:00:00"/>
    <x v="9"/>
    <x v="1"/>
    <s v="Sweater"/>
    <n v="437.47"/>
    <x v="0"/>
    <n v="1"/>
    <n v="3"/>
    <s v="Repeat"/>
    <n v="42"/>
  </r>
  <r>
    <s v="C158"/>
    <d v="2026-01-05T00:00:00"/>
    <x v="10"/>
    <x v="0"/>
    <s v="Shampoo"/>
    <n v="115"/>
    <x v="1"/>
    <n v="1"/>
    <n v="5"/>
    <s v="Repeat"/>
    <n v="34"/>
  </r>
  <r>
    <s v="C085"/>
    <d v="2025-09-03T00:00:00"/>
    <x v="11"/>
    <x v="1"/>
    <s v="Jeans"/>
    <n v="497.78"/>
    <x v="5"/>
    <n v="1"/>
    <n v="4"/>
    <s v="New"/>
    <n v="32"/>
  </r>
  <r>
    <s v="C046"/>
    <d v="2025-07-26T00:00:00"/>
    <x v="12"/>
    <x v="2"/>
    <s v="Keyboard"/>
    <n v="188.22"/>
    <x v="5"/>
    <n v="0"/>
    <n v="1"/>
    <s v="New"/>
    <n v="24"/>
  </r>
  <r>
    <s v="C173"/>
    <d v="2026-01-10T00:00:00"/>
    <x v="10"/>
    <x v="0"/>
    <s v="Foundation"/>
    <n v="258.57"/>
    <x v="6"/>
    <n v="0"/>
    <n v="1"/>
    <s v="New"/>
    <n v="24"/>
  </r>
  <r>
    <s v="C009"/>
    <d v="2025-08-23T00:00:00"/>
    <x v="5"/>
    <x v="1"/>
    <s v="Shoes"/>
    <n v="107.38"/>
    <x v="4"/>
    <n v="1"/>
    <n v="2"/>
    <s v="Repeat"/>
    <n v="37"/>
  </r>
  <r>
    <s v="C041"/>
    <d v="2025-06-10T00:00:00"/>
    <x v="9"/>
    <x v="2"/>
    <s v="Headphones"/>
    <n v="141.26"/>
    <x v="4"/>
    <n v="1"/>
    <n v="4"/>
    <s v="Repeat"/>
    <n v="32"/>
  </r>
  <r>
    <s v="C120"/>
    <d v="2026-01-15T00:00:00"/>
    <x v="10"/>
    <x v="2"/>
    <s v="Mouse"/>
    <n v="261.98"/>
    <x v="0"/>
    <n v="0"/>
    <n v="1"/>
    <s v="New"/>
    <n v="24"/>
  </r>
  <r>
    <s v="C130"/>
    <d v="2025-12-30T00:00:00"/>
    <x v="7"/>
    <x v="1"/>
    <s v="Jacket"/>
    <n v="486.37"/>
    <x v="5"/>
    <n v="1"/>
    <n v="5"/>
    <s v="New"/>
    <n v="34"/>
  </r>
  <r>
    <s v="C044"/>
    <d v="2025-03-21T00:00:00"/>
    <x v="3"/>
    <x v="2"/>
    <s v="Smartphone"/>
    <n v="321.88"/>
    <x v="1"/>
    <n v="1"/>
    <n v="3"/>
    <s v="Repeat"/>
    <n v="42"/>
  </r>
  <r>
    <s v="C111"/>
    <d v="2026-02-03T00:00:00"/>
    <x v="0"/>
    <x v="2"/>
    <s v="Headphones"/>
    <n v="58.65"/>
    <x v="0"/>
    <n v="1"/>
    <n v="6"/>
    <s v="New"/>
    <n v="19"/>
  </r>
  <r>
    <s v="C153"/>
    <d v="2025-10-09T00:00:00"/>
    <x v="4"/>
    <x v="4"/>
    <s v="Chair"/>
    <n v="447.48"/>
    <x v="1"/>
    <n v="1"/>
    <n v="3"/>
    <s v="New"/>
    <n v="42"/>
  </r>
  <r>
    <s v="C167"/>
    <d v="2025-06-23T00:00:00"/>
    <x v="9"/>
    <x v="1"/>
    <s v="Shoes"/>
    <n v="97.1"/>
    <x v="5"/>
    <n v="1"/>
    <n v="3"/>
    <s v="Repeat"/>
    <n v="42"/>
  </r>
  <r>
    <s v="C121"/>
    <d v="2025-11-23T00:00:00"/>
    <x v="1"/>
    <x v="3"/>
    <s v="Dumbbells"/>
    <n v="416.64"/>
    <x v="2"/>
    <n v="1"/>
    <n v="4"/>
    <s v="New"/>
    <n v="32"/>
  </r>
  <r>
    <s v="C154"/>
    <d v="2025-10-17T00:00:00"/>
    <x v="4"/>
    <x v="1"/>
    <s v="Sweater"/>
    <n v="408.38"/>
    <x v="5"/>
    <n v="1"/>
    <n v="3"/>
    <s v="New"/>
    <n v="42"/>
  </r>
  <r>
    <s v="C081"/>
    <d v="2025-08-15T00:00:00"/>
    <x v="5"/>
    <x v="1"/>
    <s v="Shoes"/>
    <n v="406.89"/>
    <x v="6"/>
    <n v="1"/>
    <n v="4"/>
    <s v="Repeat"/>
    <n v="32"/>
  </r>
  <r>
    <s v="C063"/>
    <d v="2025-08-10T00:00:00"/>
    <x v="5"/>
    <x v="1"/>
    <s v="Jeans"/>
    <n v="324.14999999999998"/>
    <x v="6"/>
    <n v="1"/>
    <n v="4"/>
    <s v="Repeat"/>
    <n v="32"/>
  </r>
  <r>
    <s v="C055"/>
    <d v="2026-01-15T00:00:00"/>
    <x v="10"/>
    <x v="4"/>
    <s v="Microwave"/>
    <n v="465.57"/>
    <x v="2"/>
    <n v="1"/>
    <n v="5"/>
    <s v="New"/>
    <n v="34"/>
  </r>
  <r>
    <s v="C138"/>
    <d v="2026-02-08T00:00:00"/>
    <x v="0"/>
    <x v="3"/>
    <s v="Tennis Racket"/>
    <n v="448.16"/>
    <x v="2"/>
    <n v="1"/>
    <n v="4"/>
    <s v="New"/>
    <n v="32"/>
  </r>
  <r>
    <s v="C091"/>
    <d v="2026-01-05T00:00:00"/>
    <x v="10"/>
    <x v="0"/>
    <s v="Lipstick"/>
    <n v="436.06"/>
    <x v="2"/>
    <n v="1"/>
    <n v="5"/>
    <s v="Repeat"/>
    <n v="34"/>
  </r>
  <r>
    <s v="C184"/>
    <d v="2025-05-28T00:00:00"/>
    <x v="2"/>
    <x v="2"/>
    <s v="Mouse"/>
    <n v="19.55"/>
    <x v="5"/>
    <n v="1"/>
    <n v="2"/>
    <s v="New"/>
    <n v="37"/>
  </r>
  <r>
    <s v="C082"/>
    <d v="2026-02-05T00:00:00"/>
    <x v="0"/>
    <x v="2"/>
    <s v="Mouse"/>
    <n v="160.74"/>
    <x v="0"/>
    <n v="1"/>
    <n v="6"/>
    <s v="New"/>
    <n v="19"/>
  </r>
  <r>
    <s v="C006"/>
    <d v="2025-12-24T00:00:00"/>
    <x v="7"/>
    <x v="0"/>
    <s v="Perfume"/>
    <n v="27.41"/>
    <x v="5"/>
    <n v="1"/>
    <n v="6"/>
    <s v="Repeat"/>
    <n v="19"/>
  </r>
  <r>
    <s v="C183"/>
    <d v="2025-03-05T00:00:00"/>
    <x v="3"/>
    <x v="2"/>
    <s v="Mouse"/>
    <n v="430.66"/>
    <x v="5"/>
    <n v="1"/>
    <n v="9"/>
    <s v="Repeat"/>
    <n v="2"/>
  </r>
  <r>
    <s v="C036"/>
    <d v="2025-08-20T00:00:00"/>
    <x v="5"/>
    <x v="1"/>
    <s v="T-shirt"/>
    <n v="215.51"/>
    <x v="1"/>
    <n v="1"/>
    <n v="4"/>
    <s v="Repeat"/>
    <n v="32"/>
  </r>
  <r>
    <s v="C035"/>
    <d v="2025-10-20T00:00:00"/>
    <x v="4"/>
    <x v="1"/>
    <s v="T-shirt"/>
    <n v="377.18"/>
    <x v="3"/>
    <n v="1"/>
    <n v="2"/>
    <s v="New"/>
    <n v="37"/>
  </r>
  <r>
    <s v="C025"/>
    <d v="2025-04-16T00:00:00"/>
    <x v="6"/>
    <x v="4"/>
    <s v="Lamp"/>
    <n v="411.2"/>
    <x v="6"/>
    <n v="1"/>
    <n v="6"/>
    <s v="Repeat"/>
    <n v="19"/>
  </r>
  <r>
    <s v="C016"/>
    <d v="2025-04-02T00:00:00"/>
    <x v="6"/>
    <x v="2"/>
    <s v="Headphones"/>
    <n v="137.6"/>
    <x v="3"/>
    <n v="1"/>
    <n v="9"/>
    <s v="New"/>
    <n v="2"/>
  </r>
  <r>
    <s v="C003"/>
    <d v="2025-05-16T00:00:00"/>
    <x v="2"/>
    <x v="0"/>
    <s v="Lipstick"/>
    <n v="167.03"/>
    <x v="4"/>
    <n v="1"/>
    <n v="5"/>
    <s v="New"/>
    <n v="34"/>
  </r>
  <r>
    <s v="C010"/>
    <d v="2025-09-17T00:00:00"/>
    <x v="11"/>
    <x v="3"/>
    <s v="Yoga Mat"/>
    <n v="30.14"/>
    <x v="0"/>
    <n v="1"/>
    <n v="3"/>
    <s v="Repeat"/>
    <n v="42"/>
  </r>
  <r>
    <s v="C198"/>
    <d v="2025-10-28T00:00:00"/>
    <x v="4"/>
    <x v="1"/>
    <s v="Shoes"/>
    <n v="50.87"/>
    <x v="0"/>
    <n v="1"/>
    <n v="5"/>
    <s v="New"/>
    <n v="34"/>
  </r>
  <r>
    <s v="C077"/>
    <d v="2025-10-30T00:00:00"/>
    <x v="4"/>
    <x v="1"/>
    <s v="Jacket"/>
    <n v="233.44"/>
    <x v="3"/>
    <n v="1"/>
    <n v="3"/>
    <s v="New"/>
    <n v="42"/>
  </r>
  <r>
    <s v="C006"/>
    <d v="2025-12-26T00:00:00"/>
    <x v="7"/>
    <x v="3"/>
    <s v="Sneakers"/>
    <n v="477.06"/>
    <x v="0"/>
    <n v="1"/>
    <n v="6"/>
    <s v="Repeat"/>
    <n v="19"/>
  </r>
  <r>
    <s v="C143"/>
    <d v="2025-08-31T00:00:00"/>
    <x v="5"/>
    <x v="1"/>
    <s v="Jeans"/>
    <n v="132.33000000000001"/>
    <x v="3"/>
    <n v="1"/>
    <n v="5"/>
    <s v="Repeat"/>
    <n v="34"/>
  </r>
  <r>
    <s v="C183"/>
    <d v="2025-08-07T00:00:00"/>
    <x v="5"/>
    <x v="1"/>
    <s v="Jeans"/>
    <n v="404.55"/>
    <x v="1"/>
    <n v="1"/>
    <n v="9"/>
    <s v="Repeat"/>
    <n v="2"/>
  </r>
  <r>
    <s v="C115"/>
    <d v="2025-02-26T00:00:00"/>
    <x v="8"/>
    <x v="2"/>
    <s v="Mouse"/>
    <n v="41.66"/>
    <x v="0"/>
    <n v="1"/>
    <n v="2"/>
    <s v="New"/>
    <n v="37"/>
  </r>
  <r>
    <s v="C138"/>
    <d v="2025-08-07T00:00:00"/>
    <x v="5"/>
    <x v="4"/>
    <s v="Toaster"/>
    <n v="103.68"/>
    <x v="5"/>
    <n v="1"/>
    <n v="4"/>
    <s v="Repeat"/>
    <n v="32"/>
  </r>
  <r>
    <s v="C187"/>
    <d v="2025-12-19T00:00:00"/>
    <x v="7"/>
    <x v="2"/>
    <s v="Mouse"/>
    <n v="362.23"/>
    <x v="6"/>
    <n v="1"/>
    <n v="5"/>
    <s v="Repeat"/>
    <n v="34"/>
  </r>
  <r>
    <s v="C057"/>
    <d v="2026-02-22T00:00:00"/>
    <x v="0"/>
    <x v="1"/>
    <s v="Jacket"/>
    <n v="224.18"/>
    <x v="5"/>
    <n v="1"/>
    <n v="10"/>
    <s v="Repeat"/>
    <n v="1"/>
  </r>
  <r>
    <s v="C021"/>
    <d v="2025-11-05T00:00:00"/>
    <x v="1"/>
    <x v="2"/>
    <s v="Mouse"/>
    <n v="361.65"/>
    <x v="0"/>
    <n v="1"/>
    <n v="2"/>
    <s v="New"/>
    <n v="37"/>
  </r>
  <r>
    <s v="C078"/>
    <d v="2025-09-15T00:00:00"/>
    <x v="11"/>
    <x v="4"/>
    <s v="Microwave"/>
    <n v="107.31"/>
    <x v="1"/>
    <n v="1"/>
    <n v="5"/>
    <s v="Repeat"/>
    <n v="34"/>
  </r>
  <r>
    <s v="C054"/>
    <d v="2026-01-29T00:00:00"/>
    <x v="10"/>
    <x v="4"/>
    <s v="Toaster"/>
    <n v="483.13"/>
    <x v="4"/>
    <n v="1"/>
    <n v="3"/>
    <s v="New"/>
    <n v="42"/>
  </r>
  <r>
    <s v="C043"/>
    <d v="2026-02-05T00:00:00"/>
    <x v="0"/>
    <x v="4"/>
    <s v="Toaster"/>
    <n v="329.7"/>
    <x v="1"/>
    <n v="1"/>
    <n v="6"/>
    <s v="Repeat"/>
    <n v="19"/>
  </r>
  <r>
    <s v="C085"/>
    <d v="2025-11-20T00:00:00"/>
    <x v="1"/>
    <x v="3"/>
    <s v="Tennis Racket"/>
    <n v="150.28"/>
    <x v="6"/>
    <n v="1"/>
    <n v="4"/>
    <s v="Repeat"/>
    <n v="32"/>
  </r>
  <r>
    <s v="C019"/>
    <d v="2025-11-28T00:00:00"/>
    <x v="1"/>
    <x v="1"/>
    <s v="T-shirt"/>
    <n v="205.96"/>
    <x v="4"/>
    <n v="1"/>
    <n v="6"/>
    <s v="Repeat"/>
    <n v="19"/>
  </r>
  <r>
    <s v="C026"/>
    <d v="2025-12-30T00:00:00"/>
    <x v="7"/>
    <x v="1"/>
    <s v="T-shirt"/>
    <n v="230.64"/>
    <x v="4"/>
    <n v="1"/>
    <n v="3"/>
    <s v="Repeat"/>
    <n v="42"/>
  </r>
  <r>
    <s v="C164"/>
    <d v="2026-01-12T00:00:00"/>
    <x v="10"/>
    <x v="3"/>
    <s v="Tennis Racket"/>
    <n v="484.59"/>
    <x v="6"/>
    <n v="1"/>
    <n v="5"/>
    <s v="New"/>
    <n v="34"/>
  </r>
  <r>
    <s v="C117"/>
    <d v="2025-06-14T00:00:00"/>
    <x v="9"/>
    <x v="4"/>
    <s v="Chair"/>
    <n v="55.31"/>
    <x v="0"/>
    <n v="1"/>
    <n v="5"/>
    <s v="Repeat"/>
    <n v="34"/>
  </r>
  <r>
    <s v="C092"/>
    <d v="2026-02-18T00:00:00"/>
    <x v="0"/>
    <x v="1"/>
    <s v="Shoes"/>
    <n v="390.38"/>
    <x v="4"/>
    <n v="1"/>
    <n v="5"/>
    <s v="Repeat"/>
    <n v="34"/>
  </r>
  <r>
    <s v="C018"/>
    <d v="2026-01-02T00:00:00"/>
    <x v="10"/>
    <x v="2"/>
    <s v="Headphones"/>
    <n v="135.82"/>
    <x v="2"/>
    <n v="1"/>
    <n v="6"/>
    <s v="Repeat"/>
    <n v="19"/>
  </r>
  <r>
    <s v="C143"/>
    <d v="2026-01-25T00:00:00"/>
    <x v="10"/>
    <x v="1"/>
    <s v="T-shirt"/>
    <n v="497.42"/>
    <x v="1"/>
    <n v="1"/>
    <n v="5"/>
    <s v="Repeat"/>
    <n v="34"/>
  </r>
  <r>
    <s v="C110"/>
    <d v="2025-05-30T00:00:00"/>
    <x v="2"/>
    <x v="2"/>
    <s v="Laptop"/>
    <n v="201.9"/>
    <x v="4"/>
    <n v="1"/>
    <n v="3"/>
    <s v="New"/>
    <n v="42"/>
  </r>
  <r>
    <s v="C049"/>
    <d v="2025-10-22T00:00:00"/>
    <x v="4"/>
    <x v="0"/>
    <s v="Foundation"/>
    <n v="51.86"/>
    <x v="3"/>
    <n v="1"/>
    <n v="4"/>
    <s v="Repeat"/>
    <n v="32"/>
  </r>
  <r>
    <s v="C006"/>
    <d v="2025-05-09T00:00:00"/>
    <x v="2"/>
    <x v="4"/>
    <s v="Lamp"/>
    <n v="370.99"/>
    <x v="5"/>
    <n v="1"/>
    <n v="6"/>
    <s v="Repeat"/>
    <n v="19"/>
  </r>
  <r>
    <s v="C012"/>
    <d v="2025-04-10T00:00:00"/>
    <x v="6"/>
    <x v="3"/>
    <s v="Yoga Mat"/>
    <n v="478.85"/>
    <x v="2"/>
    <n v="1"/>
    <n v="4"/>
    <s v="New"/>
    <n v="32"/>
  </r>
  <r>
    <s v="C054"/>
    <d v="2025-08-08T00:00:00"/>
    <x v="5"/>
    <x v="4"/>
    <s v="Blender"/>
    <n v="350.15"/>
    <x v="4"/>
    <n v="1"/>
    <n v="3"/>
    <s v="Repeat"/>
    <n v="42"/>
  </r>
  <r>
    <s v="C018"/>
    <d v="2025-02-27T00:00:00"/>
    <x v="8"/>
    <x v="3"/>
    <s v="Soccer Ball"/>
    <n v="309.37"/>
    <x v="0"/>
    <n v="1"/>
    <n v="6"/>
    <s v="Repeat"/>
    <n v="19"/>
  </r>
  <r>
    <s v="C161"/>
    <d v="2025-11-08T00:00:00"/>
    <x v="1"/>
    <x v="0"/>
    <s v="Shampoo"/>
    <n v="236.42"/>
    <x v="3"/>
    <n v="1"/>
    <n v="5"/>
    <s v="Repeat"/>
    <n v="34"/>
  </r>
  <r>
    <s v="C112"/>
    <d v="2025-12-21T00:00:00"/>
    <x v="7"/>
    <x v="2"/>
    <s v="Keyboard"/>
    <n v="424.27"/>
    <x v="2"/>
    <n v="1"/>
    <n v="6"/>
    <s v="Repeat"/>
    <n v="19"/>
  </r>
  <r>
    <s v="C133"/>
    <d v="2025-12-06T00:00:00"/>
    <x v="7"/>
    <x v="4"/>
    <s v="Microwave"/>
    <n v="243.79"/>
    <x v="0"/>
    <n v="1"/>
    <n v="3"/>
    <s v="New"/>
    <n v="42"/>
  </r>
  <r>
    <s v="C159"/>
    <d v="2025-06-27T00:00:00"/>
    <x v="9"/>
    <x v="4"/>
    <s v="Microwave"/>
    <n v="382.24"/>
    <x v="0"/>
    <n v="1"/>
    <n v="5"/>
    <s v="Repeat"/>
    <n v="34"/>
  </r>
  <r>
    <s v="C169"/>
    <d v="2025-09-23T00:00:00"/>
    <x v="11"/>
    <x v="0"/>
    <s v="Lipstick"/>
    <n v="334.49"/>
    <x v="6"/>
    <n v="1"/>
    <n v="5"/>
    <s v="Repeat"/>
    <n v="34"/>
  </r>
  <r>
    <s v="C134"/>
    <d v="2025-10-29T00:00:00"/>
    <x v="4"/>
    <x v="0"/>
    <s v="Lipstick"/>
    <n v="195.42"/>
    <x v="6"/>
    <n v="1"/>
    <n v="6"/>
    <s v="New"/>
    <n v="19"/>
  </r>
  <r>
    <s v="C106"/>
    <d v="2025-12-03T00:00:00"/>
    <x v="7"/>
    <x v="2"/>
    <s v="Keyboard"/>
    <n v="124.46"/>
    <x v="6"/>
    <n v="1"/>
    <n v="5"/>
    <s v="Repeat"/>
    <n v="34"/>
  </r>
  <r>
    <s v="C127"/>
    <d v="2025-08-31T00:00:00"/>
    <x v="5"/>
    <x v="2"/>
    <s v="Mouse"/>
    <n v="411.45"/>
    <x v="2"/>
    <n v="1"/>
    <n v="5"/>
    <s v="New"/>
    <n v="34"/>
  </r>
  <r>
    <s v="C187"/>
    <d v="2025-03-14T00:00:00"/>
    <x v="3"/>
    <x v="3"/>
    <s v="Sneakers"/>
    <n v="295.19"/>
    <x v="3"/>
    <n v="1"/>
    <n v="5"/>
    <s v="Repeat"/>
    <n v="34"/>
  </r>
  <r>
    <s v="C084"/>
    <d v="2025-09-28T00:00:00"/>
    <x v="11"/>
    <x v="0"/>
    <s v="Foundation"/>
    <n v="345.21"/>
    <x v="4"/>
    <n v="1"/>
    <n v="5"/>
    <s v="Repeat"/>
    <n v="34"/>
  </r>
  <r>
    <s v="C197"/>
    <d v="2025-12-30T00:00:00"/>
    <x v="7"/>
    <x v="1"/>
    <s v="T-shirt"/>
    <n v="454.2"/>
    <x v="1"/>
    <n v="1"/>
    <n v="4"/>
    <s v="New"/>
    <n v="32"/>
  </r>
  <r>
    <s v="C187"/>
    <d v="2025-06-07T00:00:00"/>
    <x v="9"/>
    <x v="2"/>
    <s v="Laptop"/>
    <n v="248.84"/>
    <x v="2"/>
    <n v="1"/>
    <n v="5"/>
    <s v="Repeat"/>
    <n v="34"/>
  </r>
  <r>
    <s v="C181"/>
    <d v="2025-11-07T00:00:00"/>
    <x v="1"/>
    <x v="4"/>
    <s v="Toaster"/>
    <n v="465.4"/>
    <x v="1"/>
    <n v="1"/>
    <n v="3"/>
    <s v="New"/>
    <n v="42"/>
  </r>
  <r>
    <s v="C089"/>
    <d v="2025-08-30T00:00:00"/>
    <x v="5"/>
    <x v="0"/>
    <s v="Perfume"/>
    <n v="284.29000000000002"/>
    <x v="1"/>
    <n v="1"/>
    <n v="3"/>
    <s v="Repeat"/>
    <n v="42"/>
  </r>
  <r>
    <s v="C086"/>
    <d v="2025-11-17T00:00:00"/>
    <x v="1"/>
    <x v="2"/>
    <s v="Headphones"/>
    <n v="471.23"/>
    <x v="2"/>
    <n v="1"/>
    <n v="4"/>
    <s v="New"/>
    <n v="32"/>
  </r>
  <r>
    <s v="C055"/>
    <d v="2026-01-03T00:00:00"/>
    <x v="10"/>
    <x v="4"/>
    <s v="Toaster"/>
    <n v="266.08999999999997"/>
    <x v="4"/>
    <n v="1"/>
    <n v="5"/>
    <s v="Repeat"/>
    <n v="34"/>
  </r>
  <r>
    <s v="C119"/>
    <d v="2025-04-21T00:00:00"/>
    <x v="6"/>
    <x v="1"/>
    <s v="Jeans"/>
    <n v="252.91"/>
    <x v="2"/>
    <n v="1"/>
    <n v="6"/>
    <s v="New"/>
    <n v="19"/>
  </r>
  <r>
    <s v="C137"/>
    <d v="2025-10-04T00:00:00"/>
    <x v="4"/>
    <x v="3"/>
    <s v="Sneakers"/>
    <n v="174.94"/>
    <x v="0"/>
    <n v="1"/>
    <n v="5"/>
    <s v="New"/>
    <n v="34"/>
  </r>
  <r>
    <s v="C105"/>
    <d v="2025-12-28T00:00:00"/>
    <x v="7"/>
    <x v="1"/>
    <s v="T-shirt"/>
    <n v="377.61"/>
    <x v="2"/>
    <n v="0"/>
    <n v="1"/>
    <s v="New"/>
    <n v="24"/>
  </r>
  <r>
    <s v="C072"/>
    <d v="2025-06-19T00:00:00"/>
    <x v="9"/>
    <x v="1"/>
    <s v="Jacket"/>
    <n v="216.75"/>
    <x v="1"/>
    <n v="1"/>
    <n v="4"/>
    <s v="New"/>
    <n v="32"/>
  </r>
  <r>
    <s v="C071"/>
    <d v="2026-01-28T00:00:00"/>
    <x v="10"/>
    <x v="2"/>
    <s v="Smartphone"/>
    <n v="200.83"/>
    <x v="5"/>
    <n v="1"/>
    <n v="6"/>
    <s v="New"/>
    <n v="19"/>
  </r>
  <r>
    <s v="C198"/>
    <d v="2025-11-12T00:00:00"/>
    <x v="1"/>
    <x v="0"/>
    <s v="Perfume"/>
    <n v="21.05"/>
    <x v="2"/>
    <n v="1"/>
    <n v="5"/>
    <s v="Repeat"/>
    <n v="34"/>
  </r>
  <r>
    <s v="C111"/>
    <d v="2025-05-19T00:00:00"/>
    <x v="2"/>
    <x v="3"/>
    <s v="Tennis Racket"/>
    <n v="321.77999999999997"/>
    <x v="6"/>
    <n v="1"/>
    <n v="6"/>
    <s v="Repeat"/>
    <n v="19"/>
  </r>
  <r>
    <s v="C154"/>
    <d v="2025-10-20T00:00:00"/>
    <x v="4"/>
    <x v="3"/>
    <s v="Soccer Ball"/>
    <n v="318.88"/>
    <x v="5"/>
    <n v="1"/>
    <n v="3"/>
    <s v="Repeat"/>
    <n v="42"/>
  </r>
  <r>
    <s v="C080"/>
    <d v="2025-08-16T00:00:00"/>
    <x v="5"/>
    <x v="0"/>
    <s v="Lipstick"/>
    <n v="19.25"/>
    <x v="1"/>
    <n v="1"/>
    <n v="2"/>
    <s v="New"/>
    <n v="37"/>
  </r>
  <r>
    <s v="C030"/>
    <d v="2025-04-28T00:00:00"/>
    <x v="6"/>
    <x v="2"/>
    <s v="Smartphone"/>
    <n v="98.58"/>
    <x v="4"/>
    <n v="1"/>
    <n v="3"/>
    <s v="New"/>
    <n v="42"/>
  </r>
  <r>
    <s v="C040"/>
    <d v="2025-04-18T00:00:00"/>
    <x v="6"/>
    <x v="1"/>
    <s v="T-shirt"/>
    <n v="300.70999999999998"/>
    <x v="4"/>
    <n v="1"/>
    <n v="4"/>
    <s v="Repeat"/>
    <n v="32"/>
  </r>
  <r>
    <s v="C022"/>
    <d v="2026-01-26T00:00:00"/>
    <x v="10"/>
    <x v="2"/>
    <s v="Keyboard"/>
    <n v="330.51"/>
    <x v="4"/>
    <n v="1"/>
    <n v="2"/>
    <s v="New"/>
    <n v="37"/>
  </r>
  <r>
    <s v="C041"/>
    <d v="2025-06-21T00:00:00"/>
    <x v="9"/>
    <x v="3"/>
    <s v="Soccer Ball"/>
    <n v="184.13"/>
    <x v="1"/>
    <n v="1"/>
    <n v="4"/>
    <s v="Repeat"/>
    <n v="32"/>
  </r>
  <r>
    <s v="C174"/>
    <d v="2025-08-02T00:00:00"/>
    <x v="5"/>
    <x v="3"/>
    <s v="Yoga Mat"/>
    <n v="445.78"/>
    <x v="5"/>
    <n v="1"/>
    <n v="3"/>
    <s v="New"/>
    <n v="42"/>
  </r>
  <r>
    <s v="C180"/>
    <d v="2025-03-31T00:00:00"/>
    <x v="3"/>
    <x v="0"/>
    <s v="Shampoo"/>
    <n v="252.44"/>
    <x v="2"/>
    <n v="1"/>
    <n v="6"/>
    <s v="Repeat"/>
    <n v="19"/>
  </r>
  <r>
    <s v="C031"/>
    <d v="2025-05-10T00:00:00"/>
    <x v="2"/>
    <x v="0"/>
    <s v="Lotion"/>
    <n v="175.35"/>
    <x v="4"/>
    <n v="1"/>
    <n v="5"/>
    <s v="Repeat"/>
    <n v="34"/>
  </r>
  <r>
    <s v="C162"/>
    <d v="2025-10-28T00:00:00"/>
    <x v="4"/>
    <x v="3"/>
    <s v="Soccer Ball"/>
    <n v="228.2"/>
    <x v="5"/>
    <n v="1"/>
    <n v="4"/>
    <s v="New"/>
    <n v="32"/>
  </r>
  <r>
    <s v="C124"/>
    <d v="2025-09-18T00:00:00"/>
    <x v="11"/>
    <x v="1"/>
    <s v="Jacket"/>
    <n v="141.91"/>
    <x v="0"/>
    <n v="1"/>
    <n v="3"/>
    <s v="New"/>
    <n v="42"/>
  </r>
  <r>
    <s v="C017"/>
    <d v="2026-02-09T00:00:00"/>
    <x v="0"/>
    <x v="4"/>
    <s v="Blender"/>
    <n v="360.82"/>
    <x v="3"/>
    <n v="1"/>
    <n v="6"/>
    <s v="New"/>
    <n v="19"/>
  </r>
  <r>
    <s v="C184"/>
    <d v="2025-08-28T00:00:00"/>
    <x v="5"/>
    <x v="0"/>
    <s v="Foundation"/>
    <n v="89.4"/>
    <x v="3"/>
    <n v="1"/>
    <n v="2"/>
    <s v="Repeat"/>
    <n v="37"/>
  </r>
  <r>
    <s v="C062"/>
    <d v="2026-01-24T00:00:00"/>
    <x v="10"/>
    <x v="4"/>
    <s v="Microwave"/>
    <n v="252.27"/>
    <x v="1"/>
    <n v="1"/>
    <n v="3"/>
    <s v="New"/>
    <n v="42"/>
  </r>
  <r>
    <s v="C051"/>
    <d v="2025-05-21T00:00:00"/>
    <x v="2"/>
    <x v="1"/>
    <s v="Sweater"/>
    <n v="448.07"/>
    <x v="1"/>
    <n v="1"/>
    <n v="3"/>
    <s v="New"/>
    <n v="42"/>
  </r>
  <r>
    <s v="C153"/>
    <d v="2025-02-23T00:00:00"/>
    <x v="8"/>
    <x v="0"/>
    <s v="Lotion"/>
    <n v="383.65"/>
    <x v="6"/>
    <n v="1"/>
    <n v="3"/>
    <s v="Repeat"/>
    <n v="42"/>
  </r>
  <r>
    <s v="C176"/>
    <d v="2025-12-05T00:00:00"/>
    <x v="7"/>
    <x v="3"/>
    <s v="Tennis Racket"/>
    <n v="182.34"/>
    <x v="2"/>
    <n v="0"/>
    <n v="1"/>
    <s v="New"/>
    <n v="24"/>
  </r>
  <r>
    <s v="C118"/>
    <d v="2025-09-13T00:00:00"/>
    <x v="11"/>
    <x v="2"/>
    <s v="Laptop"/>
    <n v="233.89"/>
    <x v="2"/>
    <n v="1"/>
    <n v="5"/>
    <s v="New"/>
    <n v="34"/>
  </r>
  <r>
    <s v="C099"/>
    <d v="2025-04-15T00:00:00"/>
    <x v="6"/>
    <x v="4"/>
    <s v="Lamp"/>
    <n v="287.17"/>
    <x v="0"/>
    <n v="1"/>
    <n v="3"/>
    <s v="Repeat"/>
    <n v="42"/>
  </r>
  <r>
    <s v="C119"/>
    <d v="2025-11-16T00:00:00"/>
    <x v="1"/>
    <x v="0"/>
    <s v="Lipstick"/>
    <n v="354.61"/>
    <x v="1"/>
    <n v="1"/>
    <n v="6"/>
    <s v="Repeat"/>
    <n v="19"/>
  </r>
  <r>
    <s v="C081"/>
    <d v="2025-06-28T00:00:00"/>
    <x v="9"/>
    <x v="2"/>
    <s v="Smartphone"/>
    <n v="77.97"/>
    <x v="1"/>
    <n v="1"/>
    <n v="4"/>
    <s v="Repeat"/>
    <n v="32"/>
  </r>
  <r>
    <s v="C157"/>
    <d v="2025-12-06T00:00:00"/>
    <x v="7"/>
    <x v="0"/>
    <s v="Perfume"/>
    <n v="438.72"/>
    <x v="4"/>
    <n v="0"/>
    <n v="1"/>
    <s v="New"/>
    <n v="24"/>
  </r>
  <r>
    <s v="C199"/>
    <d v="2025-03-23T00:00:00"/>
    <x v="3"/>
    <x v="2"/>
    <s v="Laptop"/>
    <n v="429.97"/>
    <x v="2"/>
    <n v="1"/>
    <n v="7"/>
    <s v="Repeat"/>
    <n v="4"/>
  </r>
  <r>
    <s v="C180"/>
    <d v="2025-03-28T00:00:00"/>
    <x v="3"/>
    <x v="0"/>
    <s v="Lotion"/>
    <n v="189.14"/>
    <x v="3"/>
    <n v="1"/>
    <n v="6"/>
    <s v="Repeat"/>
    <n v="19"/>
  </r>
  <r>
    <s v="C111"/>
    <d v="2025-09-07T00:00:00"/>
    <x v="11"/>
    <x v="4"/>
    <s v="Blender"/>
    <n v="159.09"/>
    <x v="4"/>
    <n v="1"/>
    <n v="6"/>
    <s v="Repeat"/>
    <n v="19"/>
  </r>
  <r>
    <s v="C002"/>
    <d v="2025-10-24T00:00:00"/>
    <x v="4"/>
    <x v="2"/>
    <s v="Headphones"/>
    <n v="476.7"/>
    <x v="2"/>
    <n v="1"/>
    <n v="3"/>
    <s v="New"/>
    <n v="42"/>
  </r>
  <r>
    <s v="C015"/>
    <d v="2025-12-05T00:00:00"/>
    <x v="7"/>
    <x v="4"/>
    <s v="Lamp"/>
    <n v="62.25"/>
    <x v="1"/>
    <n v="1"/>
    <n v="6"/>
    <s v="New"/>
    <n v="19"/>
  </r>
  <r>
    <s v="C133"/>
    <d v="2025-05-07T00:00:00"/>
    <x v="2"/>
    <x v="0"/>
    <s v="Shampoo"/>
    <n v="261.72000000000003"/>
    <x v="0"/>
    <n v="1"/>
    <n v="3"/>
    <s v="Repeat"/>
    <n v="42"/>
  </r>
  <r>
    <s v="C017"/>
    <d v="2025-11-08T00:00:00"/>
    <x v="1"/>
    <x v="3"/>
    <s v="Dumbbells"/>
    <n v="107.27"/>
    <x v="6"/>
    <n v="1"/>
    <n v="6"/>
    <s v="Repeat"/>
    <n v="19"/>
  </r>
  <r>
    <s v="C180"/>
    <d v="2025-09-16T00:00:00"/>
    <x v="11"/>
    <x v="2"/>
    <s v="Laptop"/>
    <n v="237.6"/>
    <x v="3"/>
    <n v="1"/>
    <n v="6"/>
    <s v="Repeat"/>
    <n v="19"/>
  </r>
  <r>
    <s v="C149"/>
    <d v="2026-01-10T00:00:00"/>
    <x v="10"/>
    <x v="3"/>
    <s v="Tennis Racket"/>
    <n v="317.25"/>
    <x v="4"/>
    <n v="0"/>
    <n v="1"/>
    <s v="New"/>
    <n v="24"/>
  </r>
  <r>
    <s v="C040"/>
    <d v="2025-10-07T00:00:00"/>
    <x v="4"/>
    <x v="3"/>
    <s v="Yoga Mat"/>
    <n v="416.7"/>
    <x v="4"/>
    <n v="1"/>
    <n v="4"/>
    <s v="Repeat"/>
    <n v="32"/>
  </r>
  <r>
    <s v="C020"/>
    <d v="2025-10-07T00:00:00"/>
    <x v="4"/>
    <x v="3"/>
    <s v="Yoga Mat"/>
    <n v="27.12"/>
    <x v="4"/>
    <n v="1"/>
    <n v="5"/>
    <s v="Repeat"/>
    <n v="34"/>
  </r>
  <r>
    <s v="C134"/>
    <d v="2025-08-18T00:00:00"/>
    <x v="5"/>
    <x v="2"/>
    <s v="Mouse"/>
    <n v="463.02"/>
    <x v="0"/>
    <n v="1"/>
    <n v="6"/>
    <s v="Repeat"/>
    <n v="19"/>
  </r>
  <r>
    <s v="C148"/>
    <d v="2025-12-07T00:00:00"/>
    <x v="7"/>
    <x v="3"/>
    <s v="Dumbbells"/>
    <n v="195.5"/>
    <x v="5"/>
    <n v="1"/>
    <n v="4"/>
    <s v="New"/>
    <n v="32"/>
  </r>
  <r>
    <s v="C061"/>
    <d v="2025-09-13T00:00:00"/>
    <x v="11"/>
    <x v="3"/>
    <s v="Sneakers"/>
    <n v="269.82"/>
    <x v="4"/>
    <n v="1"/>
    <n v="4"/>
    <s v="New"/>
    <n v="32"/>
  </r>
  <r>
    <s v="C124"/>
    <d v="2025-10-12T00:00:00"/>
    <x v="4"/>
    <x v="2"/>
    <s v="Mouse"/>
    <n v="319.85000000000002"/>
    <x v="6"/>
    <n v="1"/>
    <n v="3"/>
    <s v="Repeat"/>
    <n v="42"/>
  </r>
  <r>
    <s v="C112"/>
    <d v="2025-07-19T00:00:00"/>
    <x v="12"/>
    <x v="2"/>
    <s v="Mouse"/>
    <n v="68"/>
    <x v="4"/>
    <n v="1"/>
    <n v="6"/>
    <s v="Repeat"/>
    <n v="19"/>
  </r>
  <r>
    <s v="C196"/>
    <d v="2025-05-21T00:00:00"/>
    <x v="2"/>
    <x v="3"/>
    <s v="Dumbbells"/>
    <n v="30.36"/>
    <x v="1"/>
    <n v="1"/>
    <n v="5"/>
    <s v="New"/>
    <n v="34"/>
  </r>
  <r>
    <s v="C041"/>
    <d v="2025-10-08T00:00:00"/>
    <x v="4"/>
    <x v="4"/>
    <s v="Chair"/>
    <n v="400.19"/>
    <x v="2"/>
    <n v="1"/>
    <n v="4"/>
    <s v="Repeat"/>
    <n v="32"/>
  </r>
  <r>
    <s v="C075"/>
    <d v="2025-11-15T00:00:00"/>
    <x v="1"/>
    <x v="0"/>
    <s v="Shampoo"/>
    <n v="208.82"/>
    <x v="1"/>
    <n v="1"/>
    <n v="8"/>
    <s v="Repeat"/>
    <n v="1"/>
  </r>
  <r>
    <s v="C051"/>
    <d v="2025-11-24T00:00:00"/>
    <x v="1"/>
    <x v="2"/>
    <s v="Headphones"/>
    <n v="157.69"/>
    <x v="6"/>
    <n v="1"/>
    <n v="3"/>
    <s v="Repeat"/>
    <n v="42"/>
  </r>
  <r>
    <s v="C119"/>
    <d v="2025-11-16T00:00:00"/>
    <x v="1"/>
    <x v="1"/>
    <s v="Shoes"/>
    <n v="258.88"/>
    <x v="2"/>
    <n v="1"/>
    <n v="6"/>
    <s v="Repeat"/>
    <n v="19"/>
  </r>
  <r>
    <s v="C089"/>
    <d v="2025-07-02T00:00:00"/>
    <x v="12"/>
    <x v="0"/>
    <s v="Lipstick"/>
    <n v="420.86"/>
    <x v="2"/>
    <n v="1"/>
    <n v="3"/>
    <s v="Repeat"/>
    <n v="42"/>
  </r>
  <r>
    <s v="C001"/>
    <d v="2025-11-24T00:00:00"/>
    <x v="1"/>
    <x v="0"/>
    <s v="Foundation"/>
    <n v="193.56"/>
    <x v="1"/>
    <n v="1"/>
    <n v="4"/>
    <s v="Repeat"/>
    <n v="32"/>
  </r>
  <r>
    <s v="C058"/>
    <d v="2025-12-28T00:00:00"/>
    <x v="7"/>
    <x v="2"/>
    <s v="Mouse"/>
    <n v="128.12"/>
    <x v="2"/>
    <n v="1"/>
    <n v="4"/>
    <s v="New"/>
    <n v="32"/>
  </r>
  <r>
    <s v="C057"/>
    <d v="2026-01-20T00:00:00"/>
    <x v="10"/>
    <x v="1"/>
    <s v="Sweater"/>
    <n v="187.05"/>
    <x v="2"/>
    <n v="1"/>
    <n v="10"/>
    <s v="Repeat"/>
    <n v="1"/>
  </r>
  <r>
    <s v="C072"/>
    <d v="2025-10-11T00:00:00"/>
    <x v="4"/>
    <x v="0"/>
    <s v="Shampoo"/>
    <n v="259.45999999999998"/>
    <x v="0"/>
    <n v="1"/>
    <n v="4"/>
    <s v="Repeat"/>
    <n v="32"/>
  </r>
  <r>
    <s v="C074"/>
    <d v="2025-05-21T00:00:00"/>
    <x v="2"/>
    <x v="1"/>
    <s v="T-shirt"/>
    <n v="404.69"/>
    <x v="0"/>
    <n v="1"/>
    <n v="2"/>
    <s v="Repeat"/>
    <n v="37"/>
  </r>
  <r>
    <s v="C082"/>
    <d v="2025-12-19T00:00:00"/>
    <x v="7"/>
    <x v="4"/>
    <s v="Blender"/>
    <n v="391.49"/>
    <x v="1"/>
    <n v="1"/>
    <n v="6"/>
    <s v="Repeat"/>
    <n v="19"/>
  </r>
  <r>
    <s v="C194"/>
    <d v="2025-06-22T00:00:00"/>
    <x v="9"/>
    <x v="3"/>
    <s v="Sneakers"/>
    <n v="383.44"/>
    <x v="0"/>
    <n v="1"/>
    <n v="7"/>
    <s v="Repeat"/>
    <n v="4"/>
  </r>
  <r>
    <s v="C031"/>
    <d v="2026-01-18T00:00:00"/>
    <x v="10"/>
    <x v="2"/>
    <s v="Keyboard"/>
    <n v="189.69"/>
    <x v="0"/>
    <n v="1"/>
    <n v="5"/>
    <s v="Repeat"/>
    <n v="34"/>
  </r>
  <r>
    <s v="C077"/>
    <d v="2025-07-31T00:00:00"/>
    <x v="12"/>
    <x v="2"/>
    <s v="Headphones"/>
    <n v="204.64"/>
    <x v="1"/>
    <n v="1"/>
    <n v="3"/>
    <s v="Repeat"/>
    <n v="42"/>
  </r>
  <r>
    <s v="C121"/>
    <d v="2025-08-06T00:00:00"/>
    <x v="5"/>
    <x v="3"/>
    <s v="Yoga Mat"/>
    <n v="185.19"/>
    <x v="1"/>
    <n v="1"/>
    <n v="4"/>
    <s v="Repeat"/>
    <n v="32"/>
  </r>
  <r>
    <s v="C103"/>
    <d v="2025-11-25T00:00:00"/>
    <x v="1"/>
    <x v="2"/>
    <s v="Smartphone"/>
    <n v="469.11"/>
    <x v="0"/>
    <n v="1"/>
    <n v="3"/>
    <s v="New"/>
    <n v="42"/>
  </r>
  <r>
    <s v="C071"/>
    <d v="2025-06-02T00:00:00"/>
    <x v="9"/>
    <x v="4"/>
    <s v="Lamp"/>
    <n v="96.8"/>
    <x v="4"/>
    <n v="1"/>
    <n v="6"/>
    <s v="Repeat"/>
    <n v="19"/>
  </r>
  <r>
    <s v="C119"/>
    <d v="2025-09-04T00:00:00"/>
    <x v="11"/>
    <x v="3"/>
    <s v="Soccer Ball"/>
    <n v="440.73"/>
    <x v="2"/>
    <n v="1"/>
    <n v="6"/>
    <s v="Repeat"/>
    <n v="19"/>
  </r>
  <r>
    <s v="C008"/>
    <d v="2025-04-09T00:00:00"/>
    <x v="6"/>
    <x v="0"/>
    <s v="Perfume"/>
    <n v="274.14"/>
    <x v="1"/>
    <n v="1"/>
    <n v="4"/>
    <s v="Repeat"/>
    <n v="32"/>
  </r>
  <r>
    <s v="C143"/>
    <d v="2025-11-03T00:00:00"/>
    <x v="1"/>
    <x v="0"/>
    <s v="Lipstick"/>
    <n v="241.28"/>
    <x v="6"/>
    <n v="1"/>
    <n v="5"/>
    <s v="Repeat"/>
    <n v="34"/>
  </r>
  <r>
    <s v="C136"/>
    <d v="2025-05-09T00:00:00"/>
    <x v="2"/>
    <x v="4"/>
    <s v="Chair"/>
    <n v="400.87"/>
    <x v="3"/>
    <n v="1"/>
    <n v="3"/>
    <s v="Repeat"/>
    <n v="42"/>
  </r>
  <r>
    <s v="C183"/>
    <d v="2025-08-15T00:00:00"/>
    <x v="5"/>
    <x v="2"/>
    <s v="Headphones"/>
    <n v="355.59"/>
    <x v="2"/>
    <n v="1"/>
    <n v="9"/>
    <s v="Repeat"/>
    <n v="2"/>
  </r>
  <r>
    <s v="C070"/>
    <d v="2025-02-28T00:00:00"/>
    <x v="8"/>
    <x v="4"/>
    <s v="Blender"/>
    <n v="238.22"/>
    <x v="5"/>
    <n v="1"/>
    <n v="4"/>
    <s v="Repeat"/>
    <n v="32"/>
  </r>
  <r>
    <s v="C136"/>
    <d v="2025-08-04T00:00:00"/>
    <x v="5"/>
    <x v="2"/>
    <s v="Headphones"/>
    <n v="462.34"/>
    <x v="3"/>
    <n v="1"/>
    <n v="3"/>
    <s v="Repeat"/>
    <n v="42"/>
  </r>
  <r>
    <s v="C165"/>
    <d v="2026-01-22T00:00:00"/>
    <x v="10"/>
    <x v="2"/>
    <s v="Keyboard"/>
    <n v="429.63"/>
    <x v="4"/>
    <n v="1"/>
    <n v="3"/>
    <s v="New"/>
    <n v="42"/>
  </r>
  <r>
    <s v="C152"/>
    <d v="2025-10-26T00:00:00"/>
    <x v="4"/>
    <x v="2"/>
    <s v="Headphones"/>
    <n v="129.02000000000001"/>
    <x v="0"/>
    <n v="1"/>
    <n v="4"/>
    <s v="Repeat"/>
    <n v="32"/>
  </r>
  <r>
    <s v="C102"/>
    <d v="2026-01-31T00:00:00"/>
    <x v="10"/>
    <x v="4"/>
    <s v="Blender"/>
    <n v="76.069999999999993"/>
    <x v="1"/>
    <n v="1"/>
    <n v="5"/>
    <s v="New"/>
    <n v="34"/>
  </r>
  <r>
    <s v="C078"/>
    <d v="2025-08-14T00:00:00"/>
    <x v="5"/>
    <x v="1"/>
    <s v="Sweater"/>
    <n v="49.66"/>
    <x v="4"/>
    <n v="1"/>
    <n v="5"/>
    <s v="Repeat"/>
    <n v="34"/>
  </r>
  <r>
    <s v="C140"/>
    <d v="2025-08-04T00:00:00"/>
    <x v="5"/>
    <x v="4"/>
    <s v="Chair"/>
    <n v="424.94"/>
    <x v="5"/>
    <n v="1"/>
    <n v="5"/>
    <s v="New"/>
    <n v="34"/>
  </r>
  <r>
    <s v="C039"/>
    <d v="2026-01-20T00:00:00"/>
    <x v="10"/>
    <x v="1"/>
    <s v="Jeans"/>
    <n v="160.07"/>
    <x v="0"/>
    <n v="1"/>
    <n v="2"/>
    <s v="New"/>
    <n v="37"/>
  </r>
  <r>
    <s v="C109"/>
    <d v="2025-08-18T00:00:00"/>
    <x v="5"/>
    <x v="1"/>
    <s v="Shoes"/>
    <n v="243.83"/>
    <x v="0"/>
    <n v="1"/>
    <n v="4"/>
    <s v="Repeat"/>
    <n v="32"/>
  </r>
  <r>
    <s v="C113"/>
    <d v="2025-10-05T00:00:00"/>
    <x v="4"/>
    <x v="3"/>
    <s v="Soccer Ball"/>
    <n v="38.75"/>
    <x v="0"/>
    <n v="1"/>
    <n v="5"/>
    <s v="Repeat"/>
    <n v="34"/>
  </r>
  <r>
    <s v="C169"/>
    <d v="2025-11-11T00:00:00"/>
    <x v="1"/>
    <x v="4"/>
    <s v="Chair"/>
    <n v="445.09"/>
    <x v="4"/>
    <n v="1"/>
    <n v="5"/>
    <s v="Repeat"/>
    <n v="34"/>
  </r>
  <r>
    <s v="C112"/>
    <d v="2025-08-07T00:00:00"/>
    <x v="5"/>
    <x v="2"/>
    <s v="Keyboard"/>
    <n v="417.43"/>
    <x v="6"/>
    <n v="1"/>
    <n v="6"/>
    <s v="Repeat"/>
    <n v="19"/>
  </r>
  <r>
    <s v="C079"/>
    <d v="2025-03-23T00:00:00"/>
    <x v="3"/>
    <x v="1"/>
    <s v="Sweater"/>
    <n v="141.72999999999999"/>
    <x v="0"/>
    <n v="1"/>
    <n v="3"/>
    <s v="Repeat"/>
    <n v="42"/>
  </r>
  <r>
    <s v="C130"/>
    <d v="2025-08-08T00:00:00"/>
    <x v="5"/>
    <x v="3"/>
    <s v="Yoga Mat"/>
    <n v="339.32"/>
    <x v="1"/>
    <n v="1"/>
    <n v="5"/>
    <s v="Repeat"/>
    <n v="34"/>
  </r>
  <r>
    <s v="C037"/>
    <d v="2026-02-01T00:00:00"/>
    <x v="0"/>
    <x v="4"/>
    <s v="Chair"/>
    <n v="434.12"/>
    <x v="0"/>
    <n v="1"/>
    <n v="5"/>
    <s v="Repeat"/>
    <n v="34"/>
  </r>
  <r>
    <s v="C143"/>
    <d v="2025-08-22T00:00:00"/>
    <x v="5"/>
    <x v="0"/>
    <s v="Lipstick"/>
    <n v="336.33"/>
    <x v="1"/>
    <n v="1"/>
    <n v="5"/>
    <s v="Repeat"/>
    <n v="34"/>
  </r>
  <r>
    <s v="C084"/>
    <d v="2025-11-09T00:00:00"/>
    <x v="1"/>
    <x v="4"/>
    <s v="Lamp"/>
    <n v="40.96"/>
    <x v="1"/>
    <n v="1"/>
    <n v="5"/>
    <s v="Repeat"/>
    <n v="34"/>
  </r>
  <r>
    <s v="C075"/>
    <d v="2025-07-15T00:00:00"/>
    <x v="12"/>
    <x v="1"/>
    <s v="Shoes"/>
    <n v="474.4"/>
    <x v="1"/>
    <n v="1"/>
    <n v="8"/>
    <s v="Repeat"/>
    <n v="1"/>
  </r>
  <r>
    <s v="C123"/>
    <d v="2025-11-25T00:00:00"/>
    <x v="1"/>
    <x v="0"/>
    <s v="Lotion"/>
    <n v="72.819999999999993"/>
    <x v="1"/>
    <n v="1"/>
    <n v="3"/>
    <s v="Repeat"/>
    <n v="42"/>
  </r>
  <r>
    <s v="C199"/>
    <d v="2025-05-18T00:00:00"/>
    <x v="2"/>
    <x v="3"/>
    <s v="Sneakers"/>
    <n v="497.24"/>
    <x v="5"/>
    <n v="1"/>
    <n v="7"/>
    <s v="Repeat"/>
    <n v="4"/>
  </r>
  <r>
    <s v="C023"/>
    <d v="2025-11-24T00:00:00"/>
    <x v="1"/>
    <x v="0"/>
    <s v="Lipstick"/>
    <n v="293.42"/>
    <x v="0"/>
    <n v="1"/>
    <n v="5"/>
    <s v="Repeat"/>
    <n v="34"/>
  </r>
  <r>
    <s v="C188"/>
    <d v="2025-05-09T00:00:00"/>
    <x v="2"/>
    <x v="3"/>
    <s v="Soccer Ball"/>
    <n v="253.78"/>
    <x v="0"/>
    <n v="1"/>
    <n v="6"/>
    <s v="New"/>
    <n v="19"/>
  </r>
  <r>
    <s v="C082"/>
    <d v="2025-06-03T00:00:00"/>
    <x v="9"/>
    <x v="3"/>
    <s v="Tennis Racket"/>
    <n v="274.25"/>
    <x v="3"/>
    <n v="1"/>
    <n v="6"/>
    <s v="Repeat"/>
    <n v="19"/>
  </r>
  <r>
    <s v="C004"/>
    <d v="2025-03-28T00:00:00"/>
    <x v="3"/>
    <x v="4"/>
    <s v="Lamp"/>
    <n v="23.39"/>
    <x v="0"/>
    <n v="1"/>
    <n v="2"/>
    <s v="New"/>
    <n v="37"/>
  </r>
  <r>
    <s v="C015"/>
    <d v="2026-02-10T00:00:00"/>
    <x v="0"/>
    <x v="4"/>
    <s v="Microwave"/>
    <n v="39.75"/>
    <x v="4"/>
    <n v="1"/>
    <n v="6"/>
    <s v="Repeat"/>
    <n v="19"/>
  </r>
  <r>
    <s v="C023"/>
    <d v="2025-10-04T00:00:00"/>
    <x v="4"/>
    <x v="0"/>
    <s v="Foundation"/>
    <n v="379.49"/>
    <x v="1"/>
    <n v="1"/>
    <n v="5"/>
    <s v="Repeat"/>
    <n v="34"/>
  </r>
  <r>
    <s v="C092"/>
    <d v="2025-12-12T00:00:00"/>
    <x v="7"/>
    <x v="2"/>
    <s v="Keyboard"/>
    <n v="340.15"/>
    <x v="2"/>
    <n v="1"/>
    <n v="5"/>
    <s v="Repeat"/>
    <n v="34"/>
  </r>
  <r>
    <s v="C118"/>
    <d v="2026-02-04T00:00:00"/>
    <x v="0"/>
    <x v="1"/>
    <s v="Jacket"/>
    <n v="175.21"/>
    <x v="4"/>
    <n v="1"/>
    <n v="5"/>
    <s v="Repeat"/>
    <n v="34"/>
  </r>
  <r>
    <s v="C057"/>
    <d v="2025-06-04T00:00:00"/>
    <x v="9"/>
    <x v="0"/>
    <s v="Shampoo"/>
    <n v="274.20999999999998"/>
    <x v="1"/>
    <n v="1"/>
    <n v="10"/>
    <s v="Repeat"/>
    <n v="1"/>
  </r>
  <r>
    <s v="C073"/>
    <d v="2025-04-11T00:00:00"/>
    <x v="6"/>
    <x v="2"/>
    <s v="Mouse"/>
    <n v="342.41"/>
    <x v="2"/>
    <n v="1"/>
    <n v="5"/>
    <s v="New"/>
    <n v="34"/>
  </r>
  <r>
    <s v="C076"/>
    <d v="2025-07-21T00:00:00"/>
    <x v="12"/>
    <x v="2"/>
    <s v="Keyboard"/>
    <n v="487.92"/>
    <x v="3"/>
    <n v="1"/>
    <n v="6"/>
    <s v="New"/>
    <n v="19"/>
  </r>
  <r>
    <s v="C064"/>
    <d v="2025-11-09T00:00:00"/>
    <x v="1"/>
    <x v="0"/>
    <s v="Perfume"/>
    <n v="177.35"/>
    <x v="5"/>
    <n v="1"/>
    <n v="4"/>
    <s v="New"/>
    <n v="32"/>
  </r>
  <r>
    <s v="C183"/>
    <d v="2025-07-21T00:00:00"/>
    <x v="12"/>
    <x v="2"/>
    <s v="Laptop"/>
    <n v="448.74"/>
    <x v="2"/>
    <n v="1"/>
    <n v="9"/>
    <s v="Repeat"/>
    <n v="2"/>
  </r>
  <r>
    <s v="C124"/>
    <d v="2025-09-06T00:00:00"/>
    <x v="11"/>
    <x v="3"/>
    <s v="Yoga Mat"/>
    <n v="393.62"/>
    <x v="2"/>
    <n v="1"/>
    <n v="3"/>
    <s v="Repeat"/>
    <n v="42"/>
  </r>
  <r>
    <s v="C069"/>
    <d v="2025-05-17T00:00:00"/>
    <x v="2"/>
    <x v="0"/>
    <s v="Foundation"/>
    <n v="161.91"/>
    <x v="6"/>
    <n v="1"/>
    <n v="7"/>
    <s v="Repeat"/>
    <n v="4"/>
  </r>
  <r>
    <s v="C051"/>
    <d v="2025-04-05T00:00:00"/>
    <x v="6"/>
    <x v="2"/>
    <s v="Mouse"/>
    <n v="91.74"/>
    <x v="0"/>
    <n v="1"/>
    <n v="3"/>
    <s v="Repeat"/>
    <n v="42"/>
  </r>
  <r>
    <s v="C142"/>
    <d v="2025-09-14T00:00:00"/>
    <x v="11"/>
    <x v="2"/>
    <s v="Keyboard"/>
    <n v="328.59"/>
    <x v="3"/>
    <n v="1"/>
    <n v="6"/>
    <s v="New"/>
    <n v="19"/>
  </r>
  <r>
    <s v="C025"/>
    <d v="2025-10-05T00:00:00"/>
    <x v="4"/>
    <x v="1"/>
    <s v="T-shirt"/>
    <n v="286"/>
    <x v="6"/>
    <n v="1"/>
    <n v="6"/>
    <s v="Repeat"/>
    <n v="19"/>
  </r>
  <r>
    <s v="C082"/>
    <d v="2025-09-07T00:00:00"/>
    <x v="11"/>
    <x v="0"/>
    <s v="Perfume"/>
    <n v="432.86"/>
    <x v="3"/>
    <n v="1"/>
    <n v="6"/>
    <s v="Repeat"/>
    <n v="19"/>
  </r>
  <r>
    <s v="C094"/>
    <d v="2025-08-19T00:00:00"/>
    <x v="5"/>
    <x v="1"/>
    <s v="Sweater"/>
    <n v="333.9"/>
    <x v="2"/>
    <n v="1"/>
    <n v="4"/>
    <s v="Repeat"/>
    <n v="32"/>
  </r>
  <r>
    <s v="C132"/>
    <d v="2026-02-09T00:00:00"/>
    <x v="0"/>
    <x v="1"/>
    <s v="Shoes"/>
    <n v="21.06"/>
    <x v="4"/>
    <n v="1"/>
    <n v="4"/>
    <s v="Repeat"/>
    <n v="32"/>
  </r>
  <r>
    <s v="C073"/>
    <d v="2025-03-26T00:00:00"/>
    <x v="3"/>
    <x v="1"/>
    <s v="Sweater"/>
    <n v="294.70999999999998"/>
    <x v="4"/>
    <n v="1"/>
    <n v="5"/>
    <s v="Repeat"/>
    <n v="34"/>
  </r>
  <r>
    <s v="C098"/>
    <d v="2025-05-21T00:00:00"/>
    <x v="2"/>
    <x v="0"/>
    <s v="Foundation"/>
    <n v="430.54"/>
    <x v="5"/>
    <n v="1"/>
    <n v="2"/>
    <s v="Repeat"/>
    <n v="37"/>
  </r>
  <r>
    <s v="C078"/>
    <d v="2025-04-14T00:00:00"/>
    <x v="6"/>
    <x v="2"/>
    <s v="Smartphone"/>
    <n v="290.05"/>
    <x v="0"/>
    <n v="1"/>
    <n v="5"/>
    <s v="Repeat"/>
    <n v="34"/>
  </r>
  <r>
    <s v="C038"/>
    <d v="2025-06-22T00:00:00"/>
    <x v="9"/>
    <x v="1"/>
    <s v="Jeans"/>
    <n v="230.56"/>
    <x v="2"/>
    <n v="0"/>
    <n v="1"/>
    <s v="New"/>
    <n v="24"/>
  </r>
  <r>
    <s v="C015"/>
    <d v="2025-05-06T00:00:00"/>
    <x v="2"/>
    <x v="4"/>
    <s v="Lamp"/>
    <n v="204.14"/>
    <x v="5"/>
    <n v="1"/>
    <n v="6"/>
    <s v="Repeat"/>
    <n v="19"/>
  </r>
  <r>
    <s v="C049"/>
    <d v="2025-06-24T00:00:00"/>
    <x v="9"/>
    <x v="1"/>
    <s v="Shoes"/>
    <n v="256.36"/>
    <x v="2"/>
    <n v="1"/>
    <n v="4"/>
    <s v="Repeat"/>
    <n v="32"/>
  </r>
  <r>
    <s v="C058"/>
    <d v="2026-02-10T00:00:00"/>
    <x v="0"/>
    <x v="3"/>
    <s v="Soccer Ball"/>
    <n v="39.01"/>
    <x v="6"/>
    <n v="1"/>
    <n v="4"/>
    <s v="Repeat"/>
    <n v="32"/>
  </r>
  <r>
    <s v="C034"/>
    <d v="2025-10-20T00:00:00"/>
    <x v="4"/>
    <x v="0"/>
    <s v="Lotion"/>
    <n v="273.18"/>
    <x v="4"/>
    <n v="1"/>
    <n v="4"/>
    <s v="New"/>
    <n v="32"/>
  </r>
  <r>
    <s v="C138"/>
    <d v="2026-01-27T00:00:00"/>
    <x v="10"/>
    <x v="0"/>
    <s v="Perfume"/>
    <n v="171.82"/>
    <x v="0"/>
    <n v="1"/>
    <n v="4"/>
    <s v="Repeat"/>
    <n v="32"/>
  </r>
  <r>
    <s v="C028"/>
    <d v="2025-07-15T00:00:00"/>
    <x v="12"/>
    <x v="0"/>
    <s v="Foundation"/>
    <n v="41.64"/>
    <x v="5"/>
    <n v="1"/>
    <n v="3"/>
    <s v="New"/>
    <n v="42"/>
  </r>
  <r>
    <s v="C144"/>
    <d v="2025-06-13T00:00:00"/>
    <x v="9"/>
    <x v="1"/>
    <s v="Jacket"/>
    <n v="313.12"/>
    <x v="1"/>
    <n v="1"/>
    <n v="2"/>
    <s v="New"/>
    <n v="37"/>
  </r>
  <r>
    <s v="C003"/>
    <d v="2025-02-23T00:00:00"/>
    <x v="8"/>
    <x v="3"/>
    <s v="Soccer Ball"/>
    <n v="364.23"/>
    <x v="0"/>
    <n v="1"/>
    <n v="5"/>
    <s v="Repeat"/>
    <n v="34"/>
  </r>
  <r>
    <s v="C005"/>
    <d v="2025-09-04T00:00:00"/>
    <x v="11"/>
    <x v="1"/>
    <s v="Jeans"/>
    <n v="404.49"/>
    <x v="2"/>
    <n v="1"/>
    <n v="4"/>
    <s v="Repeat"/>
    <n v="32"/>
  </r>
  <r>
    <s v="C071"/>
    <d v="2025-04-11T00:00:00"/>
    <x v="6"/>
    <x v="2"/>
    <s v="Keyboard"/>
    <n v="468.26"/>
    <x v="5"/>
    <n v="1"/>
    <n v="6"/>
    <s v="Repeat"/>
    <n v="19"/>
  </r>
  <r>
    <s v="C091"/>
    <d v="2025-02-23T00:00:00"/>
    <x v="8"/>
    <x v="2"/>
    <s v="Mouse"/>
    <n v="253.72"/>
    <x v="5"/>
    <n v="1"/>
    <n v="5"/>
    <s v="Repeat"/>
    <n v="34"/>
  </r>
  <r>
    <s v="C200"/>
    <d v="2025-10-09T00:00:00"/>
    <x v="4"/>
    <x v="1"/>
    <s v="Shoes"/>
    <n v="199.5"/>
    <x v="0"/>
    <n v="1"/>
    <n v="2"/>
    <s v="New"/>
    <n v="37"/>
  </r>
  <r>
    <s v="C123"/>
    <d v="2026-01-17T00:00:00"/>
    <x v="10"/>
    <x v="3"/>
    <s v="Yoga Mat"/>
    <n v="441.77"/>
    <x v="2"/>
    <n v="1"/>
    <n v="3"/>
    <s v="Repeat"/>
    <n v="42"/>
  </r>
  <r>
    <s v="C043"/>
    <d v="2025-05-02T00:00:00"/>
    <x v="2"/>
    <x v="0"/>
    <s v="Lotion"/>
    <n v="286.06"/>
    <x v="0"/>
    <n v="1"/>
    <n v="6"/>
    <s v="Repeat"/>
    <n v="19"/>
  </r>
  <r>
    <s v="C055"/>
    <d v="2025-03-12T00:00:00"/>
    <x v="3"/>
    <x v="1"/>
    <s v="T-shirt"/>
    <n v="412.32"/>
    <x v="6"/>
    <n v="1"/>
    <n v="5"/>
    <s v="Repeat"/>
    <n v="34"/>
  </r>
  <r>
    <s v="C131"/>
    <d v="2025-04-21T00:00:00"/>
    <x v="6"/>
    <x v="3"/>
    <s v="Sneakers"/>
    <n v="257.08"/>
    <x v="5"/>
    <n v="1"/>
    <n v="2"/>
    <s v="New"/>
    <n v="37"/>
  </r>
  <r>
    <s v="C106"/>
    <d v="2025-06-10T00:00:00"/>
    <x v="9"/>
    <x v="2"/>
    <s v="Laptop"/>
    <n v="28.14"/>
    <x v="2"/>
    <n v="1"/>
    <n v="5"/>
    <s v="Repeat"/>
    <n v="34"/>
  </r>
  <r>
    <s v="C121"/>
    <d v="2026-01-05T00:00:00"/>
    <x v="10"/>
    <x v="4"/>
    <s v="Blender"/>
    <n v="436.71"/>
    <x v="1"/>
    <n v="1"/>
    <n v="4"/>
    <s v="Repeat"/>
    <n v="32"/>
  </r>
  <r>
    <s v="C022"/>
    <d v="2025-07-10T00:00:00"/>
    <x v="12"/>
    <x v="2"/>
    <s v="Mouse"/>
    <n v="37.409999999999997"/>
    <x v="4"/>
    <n v="1"/>
    <n v="2"/>
    <s v="Repeat"/>
    <n v="37"/>
  </r>
  <r>
    <s v="C118"/>
    <d v="2025-09-25T00:00:00"/>
    <x v="11"/>
    <x v="4"/>
    <s v="Toaster"/>
    <n v="454.77"/>
    <x v="3"/>
    <n v="1"/>
    <n v="5"/>
    <s v="Repeat"/>
    <n v="34"/>
  </r>
  <r>
    <s v="C110"/>
    <d v="2025-07-29T00:00:00"/>
    <x v="12"/>
    <x v="0"/>
    <s v="Lipstick"/>
    <n v="41.7"/>
    <x v="1"/>
    <n v="1"/>
    <n v="3"/>
    <s v="Repeat"/>
    <n v="42"/>
  </r>
  <r>
    <s v="C127"/>
    <d v="2025-09-01T00:00:00"/>
    <x v="11"/>
    <x v="4"/>
    <s v="Chair"/>
    <n v="443.16"/>
    <x v="2"/>
    <n v="1"/>
    <n v="5"/>
    <s v="Repeat"/>
    <n v="34"/>
  </r>
  <r>
    <s v="C140"/>
    <d v="2025-03-22T00:00:00"/>
    <x v="3"/>
    <x v="0"/>
    <s v="Foundation"/>
    <n v="438.15"/>
    <x v="5"/>
    <n v="1"/>
    <n v="5"/>
    <s v="Repeat"/>
    <n v="34"/>
  </r>
  <r>
    <s v="C086"/>
    <d v="2025-03-14T00:00:00"/>
    <x v="3"/>
    <x v="1"/>
    <s v="Jeans"/>
    <n v="452.02"/>
    <x v="5"/>
    <n v="1"/>
    <n v="4"/>
    <s v="Repeat"/>
    <n v="32"/>
  </r>
  <r>
    <s v="C121"/>
    <d v="2025-06-23T00:00:00"/>
    <x v="9"/>
    <x v="4"/>
    <s v="Chair"/>
    <n v="159.28"/>
    <x v="3"/>
    <n v="1"/>
    <n v="4"/>
    <s v="Repeat"/>
    <n v="32"/>
  </r>
  <r>
    <s v="C147"/>
    <d v="2025-05-22T00:00:00"/>
    <x v="2"/>
    <x v="3"/>
    <s v="Dumbbells"/>
    <n v="173.48"/>
    <x v="4"/>
    <n v="1"/>
    <n v="2"/>
    <s v="Repeat"/>
    <n v="37"/>
  </r>
  <r>
    <s v="C095"/>
    <d v="2025-04-30T00:00:00"/>
    <x v="6"/>
    <x v="2"/>
    <s v="Smartphone"/>
    <n v="356.1"/>
    <x v="4"/>
    <n v="1"/>
    <n v="2"/>
    <s v="New"/>
    <n v="37"/>
  </r>
  <r>
    <s v="C113"/>
    <d v="2025-06-10T00:00:00"/>
    <x v="9"/>
    <x v="0"/>
    <s v="Lotion"/>
    <n v="147.78"/>
    <x v="3"/>
    <n v="1"/>
    <n v="5"/>
    <s v="Repeat"/>
    <n v="34"/>
  </r>
  <r>
    <s v="C129"/>
    <d v="2025-12-03T00:00:00"/>
    <x v="7"/>
    <x v="2"/>
    <s v="Keyboard"/>
    <n v="152.63"/>
    <x v="1"/>
    <n v="1"/>
    <n v="3"/>
    <s v="New"/>
    <n v="42"/>
  </r>
  <r>
    <s v="C034"/>
    <d v="2025-07-25T00:00:00"/>
    <x v="12"/>
    <x v="2"/>
    <s v="Keyboard"/>
    <n v="467.67"/>
    <x v="6"/>
    <n v="1"/>
    <n v="4"/>
    <s v="Repeat"/>
    <n v="32"/>
  </r>
  <r>
    <s v="C058"/>
    <d v="2026-02-14T00:00:00"/>
    <x v="0"/>
    <x v="0"/>
    <s v="Lotion"/>
    <n v="117.74"/>
    <x v="2"/>
    <n v="1"/>
    <n v="4"/>
    <s v="Repeat"/>
    <n v="32"/>
  </r>
  <r>
    <s v="C122"/>
    <d v="2025-10-04T00:00:00"/>
    <x v="4"/>
    <x v="3"/>
    <s v="Dumbbells"/>
    <n v="36.39"/>
    <x v="1"/>
    <n v="1"/>
    <n v="5"/>
    <s v="Repeat"/>
    <n v="34"/>
  </r>
  <r>
    <s v="C035"/>
    <d v="2026-02-19T00:00:00"/>
    <x v="0"/>
    <x v="3"/>
    <s v="Tennis Racket"/>
    <n v="378.12"/>
    <x v="2"/>
    <n v="1"/>
    <n v="2"/>
    <s v="Repeat"/>
    <n v="37"/>
  </r>
  <r>
    <s v="C055"/>
    <d v="2026-01-09T00:00:00"/>
    <x v="10"/>
    <x v="0"/>
    <s v="Shampoo"/>
    <n v="121.53"/>
    <x v="2"/>
    <n v="1"/>
    <n v="5"/>
    <s v="Repeat"/>
    <n v="34"/>
  </r>
  <r>
    <s v="C164"/>
    <d v="2025-07-21T00:00:00"/>
    <x v="12"/>
    <x v="1"/>
    <s v="T-shirt"/>
    <n v="169.7"/>
    <x v="5"/>
    <n v="1"/>
    <n v="5"/>
    <s v="Repeat"/>
    <n v="34"/>
  </r>
  <r>
    <s v="C169"/>
    <d v="2025-06-26T00:00:00"/>
    <x v="9"/>
    <x v="3"/>
    <s v="Sneakers"/>
    <n v="107.7"/>
    <x v="0"/>
    <n v="1"/>
    <n v="5"/>
    <s v="Repeat"/>
    <n v="34"/>
  </r>
  <r>
    <s v="C192"/>
    <d v="2025-12-19T00:00:00"/>
    <x v="7"/>
    <x v="1"/>
    <s v="Jacket"/>
    <n v="38.51"/>
    <x v="2"/>
    <n v="1"/>
    <n v="7"/>
    <s v="Repeat"/>
    <n v="4"/>
  </r>
  <r>
    <s v="C002"/>
    <d v="2025-05-29T00:00:00"/>
    <x v="2"/>
    <x v="1"/>
    <s v="Sweater"/>
    <n v="77.81"/>
    <x v="2"/>
    <n v="1"/>
    <n v="3"/>
    <s v="Repeat"/>
    <n v="42"/>
  </r>
  <r>
    <s v="C037"/>
    <d v="2025-08-03T00:00:00"/>
    <x v="5"/>
    <x v="1"/>
    <s v="Jacket"/>
    <n v="26.27"/>
    <x v="2"/>
    <n v="1"/>
    <n v="5"/>
    <s v="Repeat"/>
    <n v="34"/>
  </r>
  <r>
    <s v="C069"/>
    <d v="2025-10-03T00:00:00"/>
    <x v="4"/>
    <x v="1"/>
    <s v="Shoes"/>
    <n v="412.06"/>
    <x v="1"/>
    <n v="1"/>
    <n v="7"/>
    <s v="Repeat"/>
    <n v="4"/>
  </r>
  <r>
    <s v="C160"/>
    <d v="2025-04-26T00:00:00"/>
    <x v="6"/>
    <x v="3"/>
    <s v="Dumbbells"/>
    <n v="81.510000000000005"/>
    <x v="6"/>
    <n v="1"/>
    <n v="2"/>
    <s v="New"/>
    <n v="37"/>
  </r>
  <r>
    <s v="C050"/>
    <d v="2025-05-06T00:00:00"/>
    <x v="2"/>
    <x v="0"/>
    <s v="Lipstick"/>
    <n v="464.4"/>
    <x v="6"/>
    <n v="1"/>
    <n v="2"/>
    <s v="New"/>
    <n v="37"/>
  </r>
  <r>
    <s v="C012"/>
    <d v="2025-12-03T00:00:00"/>
    <x v="7"/>
    <x v="4"/>
    <s v="Blender"/>
    <n v="241.59"/>
    <x v="1"/>
    <n v="1"/>
    <n v="4"/>
    <s v="Repeat"/>
    <n v="32"/>
  </r>
  <r>
    <s v="C032"/>
    <d v="2025-12-31T00:00:00"/>
    <x v="7"/>
    <x v="2"/>
    <s v="Smartphone"/>
    <n v="100.51"/>
    <x v="6"/>
    <n v="0"/>
    <n v="1"/>
    <s v="New"/>
    <n v="24"/>
  </r>
  <r>
    <s v="C162"/>
    <d v="2025-04-18T00:00:00"/>
    <x v="6"/>
    <x v="0"/>
    <s v="Perfume"/>
    <n v="377"/>
    <x v="1"/>
    <n v="1"/>
    <n v="4"/>
    <s v="Repeat"/>
    <n v="32"/>
  </r>
  <r>
    <s v="C062"/>
    <d v="2025-05-09T00:00:00"/>
    <x v="2"/>
    <x v="3"/>
    <s v="Dumbbells"/>
    <n v="405.64"/>
    <x v="6"/>
    <n v="1"/>
    <n v="3"/>
    <s v="Repeat"/>
    <n v="42"/>
  </r>
  <r>
    <s v="C055"/>
    <d v="2025-02-24T00:00:00"/>
    <x v="8"/>
    <x v="1"/>
    <s v="Jeans"/>
    <n v="221.59"/>
    <x v="4"/>
    <n v="1"/>
    <n v="5"/>
    <s v="Repeat"/>
    <n v="34"/>
  </r>
  <r>
    <s v="C024"/>
    <d v="2025-12-03T00:00:00"/>
    <x v="7"/>
    <x v="4"/>
    <s v="Blender"/>
    <n v="308.06"/>
    <x v="2"/>
    <n v="1"/>
    <n v="3"/>
    <s v="Repeat"/>
    <n v="42"/>
  </r>
  <r>
    <s v="C196"/>
    <d v="2025-06-29T00:00:00"/>
    <x v="9"/>
    <x v="1"/>
    <s v="Shoes"/>
    <n v="288.60000000000002"/>
    <x v="4"/>
    <n v="1"/>
    <n v="5"/>
    <s v="Repeat"/>
    <n v="34"/>
  </r>
  <r>
    <s v="C082"/>
    <d v="2025-08-29T00:00:00"/>
    <x v="5"/>
    <x v="3"/>
    <s v="Yoga Mat"/>
    <n v="86.46"/>
    <x v="2"/>
    <n v="1"/>
    <n v="6"/>
    <s v="Repeat"/>
    <n v="19"/>
  </r>
  <r>
    <s v="C106"/>
    <d v="2025-05-25T00:00:00"/>
    <x v="2"/>
    <x v="2"/>
    <s v="Keyboard"/>
    <n v="383.33"/>
    <x v="2"/>
    <n v="1"/>
    <n v="5"/>
    <s v="Repeat"/>
    <n v="34"/>
  </r>
  <r>
    <s v="C139"/>
    <d v="2026-02-19T00:00:00"/>
    <x v="0"/>
    <x v="3"/>
    <s v="Yoga Mat"/>
    <n v="265.94"/>
    <x v="5"/>
    <n v="1"/>
    <n v="5"/>
    <s v="Repeat"/>
    <n v="34"/>
  </r>
  <r>
    <s v="C030"/>
    <d v="2025-03-17T00:00:00"/>
    <x v="3"/>
    <x v="1"/>
    <s v="T-shirt"/>
    <n v="439.26"/>
    <x v="6"/>
    <n v="1"/>
    <n v="3"/>
    <s v="Repeat"/>
    <n v="42"/>
  </r>
  <r>
    <s v="C188"/>
    <d v="2025-10-13T00:00:00"/>
    <x v="4"/>
    <x v="0"/>
    <s v="Perfume"/>
    <n v="93.78"/>
    <x v="3"/>
    <n v="1"/>
    <n v="6"/>
    <s v="Repeat"/>
    <n v="19"/>
  </r>
  <r>
    <s v="C037"/>
    <d v="2025-06-21T00:00:00"/>
    <x v="9"/>
    <x v="0"/>
    <s v="Foundation"/>
    <n v="300.29000000000002"/>
    <x v="3"/>
    <n v="1"/>
    <n v="5"/>
    <s v="Repeat"/>
    <n v="34"/>
  </r>
  <r>
    <s v="C186"/>
    <d v="2026-01-31T00:00:00"/>
    <x v="10"/>
    <x v="4"/>
    <s v="Lamp"/>
    <n v="390.22"/>
    <x v="3"/>
    <n v="1"/>
    <n v="3"/>
    <s v="New"/>
    <n v="42"/>
  </r>
  <r>
    <s v="C036"/>
    <d v="2025-11-12T00:00:00"/>
    <x v="1"/>
    <x v="3"/>
    <s v="Dumbbells"/>
    <n v="245.35"/>
    <x v="2"/>
    <n v="1"/>
    <n v="4"/>
    <s v="Repeat"/>
    <n v="32"/>
  </r>
  <r>
    <s v="C175"/>
    <d v="2025-03-26T00:00:00"/>
    <x v="3"/>
    <x v="4"/>
    <s v="Toaster"/>
    <n v="409.92"/>
    <x v="2"/>
    <n v="1"/>
    <n v="3"/>
    <s v="New"/>
    <n v="42"/>
  </r>
  <r>
    <s v="C144"/>
    <d v="2025-06-27T00:00:00"/>
    <x v="9"/>
    <x v="2"/>
    <s v="Headphones"/>
    <n v="422.41"/>
    <x v="5"/>
    <n v="1"/>
    <n v="2"/>
    <s v="Repeat"/>
    <n v="37"/>
  </r>
  <r>
    <s v="C033"/>
    <d v="2026-02-12T00:00:00"/>
    <x v="0"/>
    <x v="0"/>
    <s v="Lipstick"/>
    <n v="72.12"/>
    <x v="3"/>
    <n v="1"/>
    <n v="5"/>
    <s v="Repeat"/>
    <n v="34"/>
  </r>
  <r>
    <s v="C165"/>
    <d v="2025-08-20T00:00:00"/>
    <x v="5"/>
    <x v="4"/>
    <s v="Chair"/>
    <n v="68.41"/>
    <x v="3"/>
    <n v="1"/>
    <n v="3"/>
    <s v="Repeat"/>
    <n v="42"/>
  </r>
  <r>
    <s v="C006"/>
    <d v="2025-10-04T00:00:00"/>
    <x v="4"/>
    <x v="1"/>
    <s v="Sweater"/>
    <n v="334.19"/>
    <x v="6"/>
    <n v="1"/>
    <n v="6"/>
    <s v="Repeat"/>
    <n v="19"/>
  </r>
  <r>
    <s v="C108"/>
    <d v="2025-09-16T00:00:00"/>
    <x v="11"/>
    <x v="4"/>
    <s v="Toaster"/>
    <n v="52.58"/>
    <x v="5"/>
    <n v="1"/>
    <n v="4"/>
    <s v="New"/>
    <n v="32"/>
  </r>
  <r>
    <s v="C199"/>
    <d v="2025-06-09T00:00:00"/>
    <x v="9"/>
    <x v="4"/>
    <s v="Toaster"/>
    <n v="226.26"/>
    <x v="0"/>
    <n v="1"/>
    <n v="7"/>
    <s v="Repeat"/>
    <n v="4"/>
  </r>
  <r>
    <s v="C185"/>
    <d v="2025-07-31T00:00:00"/>
    <x v="12"/>
    <x v="3"/>
    <s v="Tennis Racket"/>
    <n v="184.2"/>
    <x v="0"/>
    <n v="1"/>
    <n v="2"/>
    <s v="Repeat"/>
    <n v="37"/>
  </r>
  <r>
    <s v="C006"/>
    <d v="2025-12-01T00:00:00"/>
    <x v="7"/>
    <x v="3"/>
    <s v="Yoga Mat"/>
    <n v="379.58"/>
    <x v="1"/>
    <n v="1"/>
    <n v="6"/>
    <s v="Repeat"/>
    <n v="19"/>
  </r>
  <r>
    <s v="C101"/>
    <d v="2025-09-29T00:00:00"/>
    <x v="11"/>
    <x v="0"/>
    <s v="Perfume"/>
    <n v="11.65"/>
    <x v="3"/>
    <n v="1"/>
    <n v="6"/>
    <s v="Repeat"/>
    <n v="19"/>
  </r>
  <r>
    <s v="C004"/>
    <d v="2025-09-24T00:00:00"/>
    <x v="11"/>
    <x v="4"/>
    <s v="Microwave"/>
    <n v="83.44"/>
    <x v="0"/>
    <n v="1"/>
    <n v="2"/>
    <s v="Repeat"/>
    <n v="37"/>
  </r>
  <r>
    <s v="C134"/>
    <d v="2025-08-21T00:00:00"/>
    <x v="5"/>
    <x v="3"/>
    <s v="Soccer Ball"/>
    <n v="463.81"/>
    <x v="1"/>
    <n v="1"/>
    <n v="6"/>
    <s v="Repeat"/>
    <n v="19"/>
  </r>
  <r>
    <s v="C017"/>
    <d v="2025-08-11T00:00:00"/>
    <x v="5"/>
    <x v="0"/>
    <s v="Lotion"/>
    <n v="344.77"/>
    <x v="0"/>
    <n v="1"/>
    <n v="6"/>
    <s v="Repeat"/>
    <n v="19"/>
  </r>
  <r>
    <s v="C017"/>
    <d v="2025-03-03T00:00:00"/>
    <x v="3"/>
    <x v="4"/>
    <s v="Lamp"/>
    <n v="371.42"/>
    <x v="0"/>
    <n v="1"/>
    <n v="6"/>
    <s v="Repeat"/>
    <n v="19"/>
  </r>
  <r>
    <s v="C025"/>
    <d v="2025-04-17T00:00:00"/>
    <x v="6"/>
    <x v="2"/>
    <s v="Mouse"/>
    <n v="104.14"/>
    <x v="2"/>
    <n v="1"/>
    <n v="6"/>
    <s v="Repeat"/>
    <n v="19"/>
  </r>
  <r>
    <s v="C177"/>
    <d v="2025-05-16T00:00:00"/>
    <x v="2"/>
    <x v="4"/>
    <s v="Microwave"/>
    <n v="207.05"/>
    <x v="0"/>
    <n v="1"/>
    <n v="2"/>
    <s v="New"/>
    <n v="37"/>
  </r>
  <r>
    <s v="C064"/>
    <d v="2025-12-17T00:00:00"/>
    <x v="7"/>
    <x v="3"/>
    <s v="Soccer Ball"/>
    <n v="106.28"/>
    <x v="4"/>
    <n v="1"/>
    <n v="4"/>
    <s v="Repeat"/>
    <n v="32"/>
  </r>
  <r>
    <s v="C067"/>
    <d v="2025-11-24T00:00:00"/>
    <x v="1"/>
    <x v="2"/>
    <s v="Mouse"/>
    <n v="448.65"/>
    <x v="1"/>
    <n v="1"/>
    <n v="4"/>
    <s v="Repeat"/>
    <n v="32"/>
  </r>
  <r>
    <s v="C182"/>
    <d v="2026-01-17T00:00:00"/>
    <x v="10"/>
    <x v="3"/>
    <s v="Dumbbells"/>
    <n v="361.83"/>
    <x v="0"/>
    <n v="1"/>
    <n v="3"/>
    <s v="Repeat"/>
    <n v="42"/>
  </r>
  <r>
    <s v="C195"/>
    <d v="2025-04-14T00:00:00"/>
    <x v="6"/>
    <x v="2"/>
    <s v="Laptop"/>
    <n v="79.12"/>
    <x v="4"/>
    <n v="1"/>
    <n v="5"/>
    <s v="Repeat"/>
    <n v="34"/>
  </r>
  <r>
    <s v="C129"/>
    <d v="2025-11-04T00:00:00"/>
    <x v="1"/>
    <x v="4"/>
    <s v="Toaster"/>
    <n v="356.99"/>
    <x v="4"/>
    <n v="1"/>
    <n v="3"/>
    <s v="Repeat"/>
    <n v="42"/>
  </r>
  <r>
    <s v="C073"/>
    <d v="2025-05-22T00:00:00"/>
    <x v="2"/>
    <x v="4"/>
    <s v="Lamp"/>
    <n v="386.73"/>
    <x v="2"/>
    <n v="1"/>
    <n v="5"/>
    <s v="Repeat"/>
    <n v="34"/>
  </r>
  <r>
    <s v="C102"/>
    <d v="2025-08-17T00:00:00"/>
    <x v="5"/>
    <x v="2"/>
    <s v="Headphones"/>
    <n v="149.16"/>
    <x v="6"/>
    <n v="1"/>
    <n v="5"/>
    <s v="Repeat"/>
    <n v="34"/>
  </r>
  <r>
    <s v="C192"/>
    <d v="2025-10-02T00:00:00"/>
    <x v="4"/>
    <x v="2"/>
    <s v="Laptop"/>
    <n v="334.87"/>
    <x v="6"/>
    <n v="1"/>
    <n v="7"/>
    <s v="Repeat"/>
    <n v="4"/>
  </r>
  <r>
    <s v="C071"/>
    <d v="2025-08-12T00:00:00"/>
    <x v="5"/>
    <x v="0"/>
    <s v="Shampoo"/>
    <n v="271.10000000000002"/>
    <x v="4"/>
    <n v="1"/>
    <n v="6"/>
    <s v="Repeat"/>
    <n v="19"/>
  </r>
  <r>
    <s v="C043"/>
    <d v="2026-02-16T00:00:00"/>
    <x v="0"/>
    <x v="4"/>
    <s v="Chair"/>
    <n v="114.48"/>
    <x v="0"/>
    <n v="1"/>
    <n v="6"/>
    <s v="Repeat"/>
    <n v="19"/>
  </r>
  <r>
    <s v="C086"/>
    <d v="2026-02-20T00:00:00"/>
    <x v="0"/>
    <x v="4"/>
    <s v="Blender"/>
    <n v="302.67"/>
    <x v="1"/>
    <n v="1"/>
    <n v="4"/>
    <s v="Repeat"/>
    <n v="32"/>
  </r>
  <r>
    <s v="C199"/>
    <d v="2025-04-14T00:00:00"/>
    <x v="6"/>
    <x v="1"/>
    <s v="Jacket"/>
    <n v="281.33"/>
    <x v="5"/>
    <n v="1"/>
    <n v="7"/>
    <s v="Repeat"/>
    <n v="4"/>
  </r>
  <r>
    <s v="C140"/>
    <d v="2026-02-04T00:00:00"/>
    <x v="0"/>
    <x v="0"/>
    <s v="Lotion"/>
    <n v="94.35"/>
    <x v="2"/>
    <n v="1"/>
    <n v="5"/>
    <s v="Repeat"/>
    <n v="34"/>
  </r>
  <r>
    <s v="C200"/>
    <d v="2025-10-05T00:00:00"/>
    <x v="4"/>
    <x v="4"/>
    <s v="Toaster"/>
    <n v="215.74"/>
    <x v="4"/>
    <n v="1"/>
    <n v="2"/>
    <s v="Repeat"/>
    <n v="37"/>
  </r>
  <r>
    <s v="C002"/>
    <d v="2025-06-05T00:00:00"/>
    <x v="9"/>
    <x v="4"/>
    <s v="Microwave"/>
    <n v="346.08"/>
    <x v="0"/>
    <n v="1"/>
    <n v="3"/>
    <s v="Repeat"/>
    <n v="42"/>
  </r>
  <r>
    <s v="C019"/>
    <d v="2025-12-01T00:00:00"/>
    <x v="7"/>
    <x v="3"/>
    <s v="Dumbbells"/>
    <n v="394.95"/>
    <x v="2"/>
    <n v="1"/>
    <n v="6"/>
    <s v="Repeat"/>
    <n v="19"/>
  </r>
  <r>
    <s v="C094"/>
    <d v="2025-03-17T00:00:00"/>
    <x v="3"/>
    <x v="1"/>
    <s v="Jacket"/>
    <n v="274.08999999999997"/>
    <x v="3"/>
    <n v="1"/>
    <n v="4"/>
    <s v="Repeat"/>
    <n v="32"/>
  </r>
  <r>
    <s v="C069"/>
    <d v="2025-09-20T00:00:00"/>
    <x v="11"/>
    <x v="3"/>
    <s v="Soccer Ball"/>
    <n v="221"/>
    <x v="2"/>
    <n v="1"/>
    <n v="7"/>
    <s v="Repeat"/>
    <n v="4"/>
  </r>
  <r>
    <s v="C091"/>
    <d v="2026-01-08T00:00:00"/>
    <x v="10"/>
    <x v="0"/>
    <s v="Perfume"/>
    <n v="432.18"/>
    <x v="4"/>
    <n v="1"/>
    <n v="5"/>
    <s v="Repeat"/>
    <n v="34"/>
  </r>
  <r>
    <s v="C075"/>
    <d v="2025-10-29T00:00:00"/>
    <x v="4"/>
    <x v="3"/>
    <s v="Tennis Racket"/>
    <n v="452.32"/>
    <x v="4"/>
    <n v="1"/>
    <n v="8"/>
    <s v="Repeat"/>
    <n v="1"/>
  </r>
  <r>
    <s v="C023"/>
    <d v="2025-06-25T00:00:00"/>
    <x v="9"/>
    <x v="0"/>
    <s v="Lipstick"/>
    <n v="118.33"/>
    <x v="1"/>
    <n v="1"/>
    <n v="5"/>
    <s v="Repeat"/>
    <n v="34"/>
  </r>
  <r>
    <s v="C130"/>
    <d v="2025-03-17T00:00:00"/>
    <x v="3"/>
    <x v="1"/>
    <s v="Sweater"/>
    <n v="132.66"/>
    <x v="5"/>
    <n v="1"/>
    <n v="5"/>
    <s v="Repeat"/>
    <n v="34"/>
  </r>
  <r>
    <s v="C026"/>
    <d v="2025-05-26T00:00:00"/>
    <x v="2"/>
    <x v="1"/>
    <s v="Shoes"/>
    <n v="281.23"/>
    <x v="3"/>
    <n v="1"/>
    <n v="3"/>
    <s v="Repeat"/>
    <n v="42"/>
  </r>
  <r>
    <s v="C050"/>
    <d v="2025-10-14T00:00:00"/>
    <x v="4"/>
    <x v="3"/>
    <s v="Tennis Racket"/>
    <n v="196.71"/>
    <x v="2"/>
    <n v="1"/>
    <n v="2"/>
    <s v="Repeat"/>
    <n v="37"/>
  </r>
  <r>
    <s v="C165"/>
    <d v="2026-01-14T00:00:00"/>
    <x v="10"/>
    <x v="1"/>
    <s v="Sweater"/>
    <n v="314.19"/>
    <x v="2"/>
    <n v="1"/>
    <n v="3"/>
    <s v="Repeat"/>
    <n v="42"/>
  </r>
  <r>
    <s v="C071"/>
    <d v="2025-05-08T00:00:00"/>
    <x v="2"/>
    <x v="2"/>
    <s v="Laptop"/>
    <n v="58.57"/>
    <x v="0"/>
    <n v="1"/>
    <n v="6"/>
    <s v="Repeat"/>
    <n v="19"/>
  </r>
  <r>
    <s v="C137"/>
    <d v="2025-05-19T00:00:00"/>
    <x v="2"/>
    <x v="2"/>
    <s v="Headphones"/>
    <n v="494.82"/>
    <x v="1"/>
    <n v="1"/>
    <n v="5"/>
    <s v="Repeat"/>
    <n v="34"/>
  </r>
  <r>
    <s v="C158"/>
    <d v="2026-02-11T00:00:00"/>
    <x v="0"/>
    <x v="0"/>
    <s v="Lipstick"/>
    <n v="128.52000000000001"/>
    <x v="3"/>
    <n v="1"/>
    <n v="5"/>
    <s v="Repeat"/>
    <n v="34"/>
  </r>
  <r>
    <s v="C158"/>
    <d v="2025-10-07T00:00:00"/>
    <x v="4"/>
    <x v="1"/>
    <s v="Jeans"/>
    <n v="347.24"/>
    <x v="3"/>
    <n v="1"/>
    <n v="5"/>
    <s v="Repeat"/>
    <n v="34"/>
  </r>
  <r>
    <s v="C042"/>
    <d v="2026-02-02T00:00:00"/>
    <x v="0"/>
    <x v="3"/>
    <s v="Soccer Ball"/>
    <n v="298.57"/>
    <x v="1"/>
    <n v="1"/>
    <n v="3"/>
    <s v="Repeat"/>
    <n v="42"/>
  </r>
  <r>
    <s v="C187"/>
    <d v="2025-06-19T00:00:00"/>
    <x v="9"/>
    <x v="1"/>
    <s v="Jacket"/>
    <n v="89.82"/>
    <x v="3"/>
    <n v="1"/>
    <n v="5"/>
    <s v="Repeat"/>
    <n v="34"/>
  </r>
  <r>
    <s v="C029"/>
    <d v="2025-12-06T00:00:00"/>
    <x v="7"/>
    <x v="4"/>
    <s v="Microwave"/>
    <n v="91.86"/>
    <x v="3"/>
    <n v="1"/>
    <n v="6"/>
    <s v="New"/>
    <n v="19"/>
  </r>
  <r>
    <s v="C126"/>
    <d v="2025-11-23T00:00:00"/>
    <x v="1"/>
    <x v="4"/>
    <s v="Chair"/>
    <n v="163.26"/>
    <x v="6"/>
    <n v="1"/>
    <n v="2"/>
    <s v="New"/>
    <n v="37"/>
  </r>
  <r>
    <s v="C065"/>
    <d v="2025-10-13T00:00:00"/>
    <x v="4"/>
    <x v="2"/>
    <s v="Smartphone"/>
    <n v="478.95"/>
    <x v="0"/>
    <n v="1"/>
    <n v="4"/>
    <s v="New"/>
    <n v="32"/>
  </r>
  <r>
    <s v="C142"/>
    <d v="2026-01-20T00:00:00"/>
    <x v="10"/>
    <x v="2"/>
    <s v="Keyboard"/>
    <n v="127.65"/>
    <x v="4"/>
    <n v="1"/>
    <n v="6"/>
    <s v="Repeat"/>
    <n v="19"/>
  </r>
  <r>
    <s v="C065"/>
    <d v="2025-06-30T00:00:00"/>
    <x v="9"/>
    <x v="3"/>
    <s v="Soccer Ball"/>
    <n v="124.64"/>
    <x v="3"/>
    <n v="1"/>
    <n v="4"/>
    <s v="Repeat"/>
    <n v="32"/>
  </r>
  <r>
    <s v="C080"/>
    <d v="2025-10-13T00:00:00"/>
    <x v="4"/>
    <x v="3"/>
    <s v="Dumbbells"/>
    <n v="363.25"/>
    <x v="4"/>
    <n v="1"/>
    <n v="2"/>
    <s v="Repeat"/>
    <n v="37"/>
  </r>
  <r>
    <s v="C193"/>
    <d v="2025-05-14T00:00:00"/>
    <x v="2"/>
    <x v="4"/>
    <s v="Chair"/>
    <n v="300.17"/>
    <x v="4"/>
    <n v="1"/>
    <n v="2"/>
    <s v="New"/>
    <n v="37"/>
  </r>
  <r>
    <s v="C030"/>
    <d v="2025-08-07T00:00:00"/>
    <x v="5"/>
    <x v="1"/>
    <s v="Jacket"/>
    <n v="92.23"/>
    <x v="4"/>
    <n v="1"/>
    <n v="3"/>
    <s v="Repeat"/>
    <n v="42"/>
  </r>
  <r>
    <s v="C127"/>
    <d v="2025-06-30T00:00:00"/>
    <x v="9"/>
    <x v="3"/>
    <s v="Soccer Ball"/>
    <n v="26.34"/>
    <x v="5"/>
    <n v="1"/>
    <n v="5"/>
    <s v="Repeat"/>
    <n v="34"/>
  </r>
  <r>
    <s v="C198"/>
    <d v="2025-07-10T00:00:00"/>
    <x v="12"/>
    <x v="3"/>
    <s v="Tennis Racket"/>
    <n v="158.27000000000001"/>
    <x v="0"/>
    <n v="1"/>
    <n v="5"/>
    <s v="Repeat"/>
    <n v="34"/>
  </r>
  <r>
    <s v="C150"/>
    <d v="2025-11-14T00:00:00"/>
    <x v="1"/>
    <x v="2"/>
    <s v="Headphones"/>
    <n v="315.02999999999997"/>
    <x v="1"/>
    <n v="1"/>
    <n v="3"/>
    <s v="New"/>
    <n v="42"/>
  </r>
  <r>
    <s v="C194"/>
    <d v="2025-05-28T00:00:00"/>
    <x v="2"/>
    <x v="0"/>
    <s v="Foundation"/>
    <n v="205.01"/>
    <x v="5"/>
    <n v="1"/>
    <n v="7"/>
    <s v="Repeat"/>
    <n v="4"/>
  </r>
  <r>
    <s v="C169"/>
    <d v="2025-05-26T00:00:00"/>
    <x v="2"/>
    <x v="0"/>
    <s v="Shampoo"/>
    <n v="149.5"/>
    <x v="1"/>
    <n v="1"/>
    <n v="5"/>
    <s v="Repeat"/>
    <n v="34"/>
  </r>
  <r>
    <s v="C021"/>
    <d v="2025-09-25T00:00:00"/>
    <x v="11"/>
    <x v="4"/>
    <s v="Blender"/>
    <n v="116.99"/>
    <x v="3"/>
    <n v="1"/>
    <n v="2"/>
    <s v="Repeat"/>
    <n v="37"/>
  </r>
  <r>
    <s v="C075"/>
    <d v="2025-08-28T00:00:00"/>
    <x v="5"/>
    <x v="1"/>
    <s v="Jeans"/>
    <n v="162.31"/>
    <x v="1"/>
    <n v="1"/>
    <n v="8"/>
    <s v="Repeat"/>
    <n v="1"/>
  </r>
  <r>
    <s v="C119"/>
    <d v="2025-11-10T00:00:00"/>
    <x v="1"/>
    <x v="0"/>
    <s v="Foundation"/>
    <n v="187.56"/>
    <x v="6"/>
    <n v="1"/>
    <n v="6"/>
    <s v="Repeat"/>
    <n v="19"/>
  </r>
  <r>
    <s v="C088"/>
    <d v="2025-04-24T00:00:00"/>
    <x v="6"/>
    <x v="0"/>
    <s v="Perfume"/>
    <n v="401.3"/>
    <x v="2"/>
    <n v="0"/>
    <n v="1"/>
    <s v="New"/>
    <n v="24"/>
  </r>
  <r>
    <s v="C102"/>
    <d v="2025-11-23T00:00:00"/>
    <x v="1"/>
    <x v="0"/>
    <s v="Lotion"/>
    <n v="200.04"/>
    <x v="4"/>
    <n v="1"/>
    <n v="5"/>
    <s v="Repeat"/>
    <n v="34"/>
  </r>
  <r>
    <s v="C146"/>
    <d v="2026-01-23T00:00:00"/>
    <x v="10"/>
    <x v="4"/>
    <s v="Toaster"/>
    <n v="451.19"/>
    <x v="6"/>
    <n v="0"/>
    <n v="1"/>
    <s v="New"/>
    <n v="24"/>
  </r>
  <r>
    <s v="C045"/>
    <d v="2025-08-17T00:00:00"/>
    <x v="5"/>
    <x v="1"/>
    <s v="T-shirt"/>
    <n v="104.67"/>
    <x v="1"/>
    <n v="0"/>
    <n v="1"/>
    <s v="New"/>
    <n v="24"/>
  </r>
  <r>
    <s v="C142"/>
    <d v="2025-04-17T00:00:00"/>
    <x v="6"/>
    <x v="1"/>
    <s v="Shoes"/>
    <n v="400.16"/>
    <x v="1"/>
    <n v="1"/>
    <n v="6"/>
    <s v="Repeat"/>
    <n v="19"/>
  </r>
  <r>
    <s v="C003"/>
    <d v="2025-12-07T00:00:00"/>
    <x v="7"/>
    <x v="0"/>
    <s v="Shampoo"/>
    <n v="435.35"/>
    <x v="6"/>
    <n v="1"/>
    <n v="5"/>
    <s v="Repeat"/>
    <n v="34"/>
  </r>
  <r>
    <s v="C106"/>
    <d v="2025-02-28T00:00:00"/>
    <x v="8"/>
    <x v="2"/>
    <s v="Laptop"/>
    <n v="212.95"/>
    <x v="5"/>
    <n v="1"/>
    <n v="5"/>
    <s v="Repeat"/>
    <n v="34"/>
  </r>
  <r>
    <s v="C066"/>
    <d v="2025-10-05T00:00:00"/>
    <x v="4"/>
    <x v="1"/>
    <s v="Sweater"/>
    <n v="114.3"/>
    <x v="1"/>
    <n v="1"/>
    <n v="2"/>
    <s v="New"/>
    <n v="37"/>
  </r>
  <r>
    <s v="C069"/>
    <d v="2025-10-06T00:00:00"/>
    <x v="4"/>
    <x v="2"/>
    <s v="Headphones"/>
    <n v="67.739999999999995"/>
    <x v="3"/>
    <n v="1"/>
    <n v="7"/>
    <s v="Repeat"/>
    <n v="4"/>
  </r>
  <r>
    <s v="C188"/>
    <d v="2025-06-01T00:00:00"/>
    <x v="9"/>
    <x v="0"/>
    <s v="Shampoo"/>
    <n v="130.01"/>
    <x v="6"/>
    <n v="1"/>
    <n v="6"/>
    <s v="Repeat"/>
    <n v="19"/>
  </r>
  <r>
    <s v="C094"/>
    <d v="2025-09-12T00:00:00"/>
    <x v="11"/>
    <x v="2"/>
    <s v="Keyboard"/>
    <n v="82.83"/>
    <x v="0"/>
    <n v="1"/>
    <n v="4"/>
    <s v="Repeat"/>
    <n v="32"/>
  </r>
  <r>
    <s v="C137"/>
    <d v="2025-03-10T00:00:00"/>
    <x v="3"/>
    <x v="2"/>
    <s v="Laptop"/>
    <n v="90.77"/>
    <x v="4"/>
    <n v="1"/>
    <n v="5"/>
    <s v="Repeat"/>
    <n v="34"/>
  </r>
  <r>
    <s v="C154"/>
    <d v="2025-10-25T00:00:00"/>
    <x v="4"/>
    <x v="3"/>
    <s v="Tennis Racket"/>
    <n v="250.67"/>
    <x v="4"/>
    <n v="1"/>
    <n v="3"/>
    <s v="Repeat"/>
    <n v="42"/>
  </r>
  <r>
    <s v="C044"/>
    <d v="2025-08-17T00:00:00"/>
    <x v="5"/>
    <x v="1"/>
    <s v="Jeans"/>
    <n v="454.68"/>
    <x v="3"/>
    <n v="1"/>
    <n v="3"/>
    <s v="Repeat"/>
    <n v="42"/>
  </r>
  <r>
    <s v="C067"/>
    <d v="2025-10-28T00:00:00"/>
    <x v="4"/>
    <x v="3"/>
    <s v="Yoga Mat"/>
    <n v="210"/>
    <x v="4"/>
    <n v="1"/>
    <n v="4"/>
    <s v="Repeat"/>
    <n v="32"/>
  </r>
  <r>
    <s v="C193"/>
    <d v="2025-06-02T00:00:00"/>
    <x v="9"/>
    <x v="1"/>
    <s v="Jacket"/>
    <n v="453.69"/>
    <x v="2"/>
    <n v="1"/>
    <n v="2"/>
    <s v="Repeat"/>
    <n v="37"/>
  </r>
  <r>
    <s v="C023"/>
    <d v="2025-11-14T00:00:00"/>
    <x v="1"/>
    <x v="0"/>
    <s v="Lotion"/>
    <n v="17.96"/>
    <x v="6"/>
    <n v="1"/>
    <n v="5"/>
    <s v="Repeat"/>
    <n v="34"/>
  </r>
  <r>
    <s v="C007"/>
    <d v="2025-03-19T00:00:00"/>
    <x v="3"/>
    <x v="4"/>
    <s v="Toaster"/>
    <n v="380.3"/>
    <x v="6"/>
    <n v="0"/>
    <n v="1"/>
    <s v="New"/>
    <n v="24"/>
  </r>
  <r>
    <s v="C034"/>
    <d v="2025-08-20T00:00:00"/>
    <x v="5"/>
    <x v="1"/>
    <s v="Jeans"/>
    <n v="440.63"/>
    <x v="1"/>
    <n v="1"/>
    <n v="4"/>
    <s v="Repeat"/>
    <n v="32"/>
  </r>
  <r>
    <s v="C174"/>
    <d v="2026-01-01T00:00:00"/>
    <x v="10"/>
    <x v="0"/>
    <s v="Foundation"/>
    <n v="484.92"/>
    <x v="5"/>
    <n v="1"/>
    <n v="3"/>
    <s v="Repeat"/>
    <n v="42"/>
  </r>
  <r>
    <s v="C027"/>
    <d v="2025-09-24T00:00:00"/>
    <x v="11"/>
    <x v="3"/>
    <s v="Dumbbells"/>
    <n v="377.4"/>
    <x v="4"/>
    <n v="1"/>
    <n v="2"/>
    <s v="New"/>
    <n v="37"/>
  </r>
  <r>
    <s v="C177"/>
    <d v="2025-11-09T00:00:00"/>
    <x v="1"/>
    <x v="3"/>
    <s v="Dumbbells"/>
    <n v="324.45"/>
    <x v="0"/>
    <n v="1"/>
    <n v="2"/>
    <s v="Repeat"/>
    <n v="37"/>
  </r>
  <r>
    <s v="C192"/>
    <d v="2025-11-10T00:00:00"/>
    <x v="1"/>
    <x v="3"/>
    <s v="Yoga Mat"/>
    <n v="304.74"/>
    <x v="3"/>
    <n v="1"/>
    <n v="7"/>
    <s v="Repeat"/>
    <n v="4"/>
  </r>
  <r>
    <s v="C109"/>
    <d v="2025-03-09T00:00:00"/>
    <x v="3"/>
    <x v="3"/>
    <s v="Yoga Mat"/>
    <n v="290.57"/>
    <x v="4"/>
    <n v="1"/>
    <n v="4"/>
    <s v="Repeat"/>
    <n v="32"/>
  </r>
  <r>
    <s v="C076"/>
    <d v="2025-12-17T00:00:00"/>
    <x v="7"/>
    <x v="1"/>
    <s v="Shoes"/>
    <n v="457.2"/>
    <x v="3"/>
    <n v="1"/>
    <n v="6"/>
    <s v="Repeat"/>
    <n v="19"/>
  </r>
  <r>
    <s v="C155"/>
    <d v="2025-05-15T00:00:00"/>
    <x v="2"/>
    <x v="1"/>
    <s v="T-shirt"/>
    <n v="164.16"/>
    <x v="0"/>
    <n v="1"/>
    <n v="3"/>
    <s v="New"/>
    <n v="42"/>
  </r>
  <r>
    <s v="C052"/>
    <d v="2025-07-05T00:00:00"/>
    <x v="12"/>
    <x v="3"/>
    <s v="Sneakers"/>
    <n v="282.56"/>
    <x v="6"/>
    <n v="1"/>
    <n v="2"/>
    <s v="New"/>
    <n v="37"/>
  </r>
  <r>
    <s v="C016"/>
    <d v="2025-02-27T00:00:00"/>
    <x v="8"/>
    <x v="1"/>
    <s v="Jeans"/>
    <n v="218.7"/>
    <x v="1"/>
    <n v="1"/>
    <n v="9"/>
    <s v="Repeat"/>
    <n v="2"/>
  </r>
  <r>
    <s v="C170"/>
    <d v="2025-08-25T00:00:00"/>
    <x v="5"/>
    <x v="0"/>
    <s v="Perfume"/>
    <n v="20.93"/>
    <x v="0"/>
    <n v="1"/>
    <n v="4"/>
    <s v="Repeat"/>
    <n v="32"/>
  </r>
  <r>
    <s v="C142"/>
    <d v="2025-10-19T00:00:00"/>
    <x v="4"/>
    <x v="2"/>
    <s v="Mouse"/>
    <n v="382.71"/>
    <x v="1"/>
    <n v="1"/>
    <n v="6"/>
    <s v="Repeat"/>
    <n v="19"/>
  </r>
  <r>
    <s v="C084"/>
    <d v="2025-08-05T00:00:00"/>
    <x v="5"/>
    <x v="1"/>
    <s v="Jeans"/>
    <n v="116.98"/>
    <x v="0"/>
    <n v="1"/>
    <n v="5"/>
    <s v="Repeat"/>
    <n v="34"/>
  </r>
  <r>
    <s v="C085"/>
    <d v="2025-09-30T00:00:00"/>
    <x v="11"/>
    <x v="2"/>
    <s v="Keyboard"/>
    <n v="365.25"/>
    <x v="3"/>
    <n v="1"/>
    <n v="4"/>
    <s v="Repeat"/>
    <n v="32"/>
  </r>
  <r>
    <s v="C018"/>
    <d v="2025-10-07T00:00:00"/>
    <x v="4"/>
    <x v="1"/>
    <s v="Jacket"/>
    <n v="274.32"/>
    <x v="0"/>
    <n v="1"/>
    <n v="6"/>
    <s v="Repeat"/>
    <n v="19"/>
  </r>
  <r>
    <s v="C019"/>
    <d v="2025-07-08T00:00:00"/>
    <x v="12"/>
    <x v="1"/>
    <s v="Shoes"/>
    <n v="366.4"/>
    <x v="2"/>
    <n v="1"/>
    <n v="6"/>
    <s v="Repeat"/>
    <n v="19"/>
  </r>
  <r>
    <s v="C145"/>
    <d v="2025-10-29T00:00:00"/>
    <x v="4"/>
    <x v="2"/>
    <s v="Mouse"/>
    <n v="163.05000000000001"/>
    <x v="2"/>
    <n v="1"/>
    <n v="2"/>
    <s v="New"/>
    <n v="37"/>
  </r>
  <r>
    <s v="C015"/>
    <d v="2025-07-17T00:00:00"/>
    <x v="12"/>
    <x v="0"/>
    <s v="Shampoo"/>
    <n v="248.56"/>
    <x v="3"/>
    <n v="1"/>
    <n v="6"/>
    <s v="Repeat"/>
    <n v="19"/>
  </r>
  <r>
    <s v="C122"/>
    <d v="2025-06-07T00:00:00"/>
    <x v="9"/>
    <x v="3"/>
    <s v="Soccer Ball"/>
    <n v="466.81"/>
    <x v="0"/>
    <n v="1"/>
    <n v="5"/>
    <s v="Repeat"/>
    <n v="34"/>
  </r>
  <r>
    <s v="C161"/>
    <d v="2025-08-11T00:00:00"/>
    <x v="5"/>
    <x v="1"/>
    <s v="Sweater"/>
    <n v="30.29"/>
    <x v="0"/>
    <n v="1"/>
    <n v="5"/>
    <s v="Repeat"/>
    <n v="34"/>
  </r>
  <r>
    <s v="C076"/>
    <d v="2025-12-21T00:00:00"/>
    <x v="7"/>
    <x v="0"/>
    <s v="Shampoo"/>
    <n v="183.74"/>
    <x v="6"/>
    <n v="1"/>
    <n v="6"/>
    <s v="Repeat"/>
    <n v="19"/>
  </r>
  <r>
    <s v="C017"/>
    <d v="2025-10-31T00:00:00"/>
    <x v="4"/>
    <x v="2"/>
    <s v="Mouse"/>
    <n v="192.96"/>
    <x v="1"/>
    <n v="1"/>
    <n v="6"/>
    <s v="Repeat"/>
    <n v="19"/>
  </r>
  <r>
    <s v="C020"/>
    <d v="2025-11-24T00:00:00"/>
    <x v="1"/>
    <x v="1"/>
    <s v="Jacket"/>
    <n v="343.73"/>
    <x v="6"/>
    <n v="1"/>
    <n v="5"/>
    <s v="Repeat"/>
    <n v="34"/>
  </r>
  <r>
    <s v="C076"/>
    <d v="2025-07-28T00:00:00"/>
    <x v="12"/>
    <x v="2"/>
    <s v="Headphones"/>
    <n v="343.81"/>
    <x v="2"/>
    <n v="1"/>
    <n v="6"/>
    <s v="Repeat"/>
    <n v="19"/>
  </r>
  <r>
    <s v="C028"/>
    <d v="2026-02-02T00:00:00"/>
    <x v="0"/>
    <x v="0"/>
    <s v="Perfume"/>
    <n v="57.7"/>
    <x v="4"/>
    <n v="1"/>
    <n v="3"/>
    <s v="Repeat"/>
    <n v="42"/>
  </r>
  <r>
    <s v="C064"/>
    <d v="2025-06-30T00:00:00"/>
    <x v="9"/>
    <x v="4"/>
    <s v="Lamp"/>
    <n v="385.06"/>
    <x v="6"/>
    <n v="1"/>
    <n v="4"/>
    <s v="Repeat"/>
    <n v="32"/>
  </r>
  <r>
    <s v="C076"/>
    <d v="2025-10-30T00:00:00"/>
    <x v="4"/>
    <x v="3"/>
    <s v="Tennis Racket"/>
    <n v="276.02999999999997"/>
    <x v="1"/>
    <n v="1"/>
    <n v="6"/>
    <s v="Repeat"/>
    <n v="19"/>
  </r>
  <r>
    <s v="C071"/>
    <d v="2025-06-27T00:00:00"/>
    <x v="9"/>
    <x v="2"/>
    <s v="Smartphone"/>
    <n v="314.23"/>
    <x v="2"/>
    <n v="1"/>
    <n v="6"/>
    <s v="Repeat"/>
    <n v="19"/>
  </r>
  <r>
    <s v="C156"/>
    <d v="2025-10-15T00:00:00"/>
    <x v="4"/>
    <x v="3"/>
    <s v="Dumbbells"/>
    <n v="99.12"/>
    <x v="4"/>
    <n v="1"/>
    <n v="3"/>
    <s v="New"/>
    <n v="42"/>
  </r>
  <r>
    <s v="C060"/>
    <d v="2025-08-04T00:00:00"/>
    <x v="5"/>
    <x v="0"/>
    <s v="Lotion"/>
    <n v="345.42"/>
    <x v="4"/>
    <n v="1"/>
    <n v="3"/>
    <s v="Repeat"/>
    <n v="42"/>
  </r>
  <r>
    <s v="C027"/>
    <d v="2025-10-22T00:00:00"/>
    <x v="4"/>
    <x v="1"/>
    <s v="Shoes"/>
    <n v="386.54"/>
    <x v="4"/>
    <n v="1"/>
    <n v="2"/>
    <s v="Repeat"/>
    <n v="37"/>
  </r>
  <r>
    <s v="C075"/>
    <d v="2025-08-22T00:00:00"/>
    <x v="5"/>
    <x v="3"/>
    <s v="Soccer Ball"/>
    <n v="331.45"/>
    <x v="4"/>
    <n v="1"/>
    <n v="8"/>
    <s v="Repeat"/>
    <n v="1"/>
  </r>
  <r>
    <s v="C174"/>
    <d v="2025-06-10T00:00:00"/>
    <x v="9"/>
    <x v="4"/>
    <s v="Microwave"/>
    <n v="387.95"/>
    <x v="6"/>
    <n v="1"/>
    <n v="3"/>
    <s v="Repeat"/>
    <n v="42"/>
  </r>
  <r>
    <s v="C014"/>
    <d v="2025-03-04T00:00:00"/>
    <x v="3"/>
    <x v="1"/>
    <s v="Shoes"/>
    <n v="37.409999999999997"/>
    <x v="2"/>
    <n v="1"/>
    <n v="2"/>
    <s v="New"/>
    <n v="37"/>
  </r>
  <r>
    <s v="C066"/>
    <d v="2026-01-16T00:00:00"/>
    <x v="10"/>
    <x v="2"/>
    <s v="Keyboard"/>
    <n v="111.74"/>
    <x v="2"/>
    <n v="1"/>
    <n v="2"/>
    <s v="Repeat"/>
    <n v="37"/>
  </r>
  <r>
    <s v="C107"/>
    <d v="2025-12-04T00:00:00"/>
    <x v="7"/>
    <x v="2"/>
    <s v="Keyboard"/>
    <n v="56.25"/>
    <x v="0"/>
    <n v="1"/>
    <n v="5"/>
    <s v="Repeat"/>
    <n v="34"/>
  </r>
  <r>
    <s v="C039"/>
    <d v="2025-10-12T00:00:00"/>
    <x v="4"/>
    <x v="0"/>
    <s v="Lotion"/>
    <n v="431.53"/>
    <x v="0"/>
    <n v="1"/>
    <n v="2"/>
    <s v="Repeat"/>
    <n v="37"/>
  </r>
  <r>
    <s v="C019"/>
    <d v="2025-05-15T00:00:00"/>
    <x v="2"/>
    <x v="4"/>
    <s v="Blender"/>
    <n v="136.83000000000001"/>
    <x v="2"/>
    <n v="1"/>
    <n v="6"/>
    <s v="Repeat"/>
    <n v="19"/>
  </r>
  <r>
    <s v="C016"/>
    <d v="2025-05-26T00:00:00"/>
    <x v="2"/>
    <x v="4"/>
    <s v="Microwave"/>
    <n v="226.43"/>
    <x v="4"/>
    <n v="1"/>
    <n v="9"/>
    <s v="Repeat"/>
    <n v="2"/>
  </r>
  <r>
    <s v="C196"/>
    <d v="2026-01-05T00:00:00"/>
    <x v="10"/>
    <x v="0"/>
    <s v="Lipstick"/>
    <n v="49.55"/>
    <x v="2"/>
    <n v="1"/>
    <n v="5"/>
    <s v="Repeat"/>
    <n v="34"/>
  </r>
  <r>
    <s v="C196"/>
    <d v="2025-03-16T00:00:00"/>
    <x v="3"/>
    <x v="1"/>
    <s v="Sweater"/>
    <n v="185.06"/>
    <x v="4"/>
    <n v="1"/>
    <n v="5"/>
    <s v="Repeat"/>
    <n v="34"/>
  </r>
  <r>
    <s v="C016"/>
    <d v="2025-11-05T00:00:00"/>
    <x v="1"/>
    <x v="4"/>
    <s v="Chair"/>
    <n v="454.39"/>
    <x v="5"/>
    <n v="1"/>
    <n v="9"/>
    <s v="Repeat"/>
    <n v="2"/>
  </r>
  <r>
    <s v="C188"/>
    <d v="2026-02-22T00:00:00"/>
    <x v="0"/>
    <x v="4"/>
    <s v="Chair"/>
    <n v="117.25"/>
    <x v="2"/>
    <n v="1"/>
    <n v="6"/>
    <s v="Repeat"/>
    <n v="19"/>
  </r>
  <r>
    <s v="C104"/>
    <d v="2025-08-01T00:00:00"/>
    <x v="5"/>
    <x v="0"/>
    <s v="Lotion"/>
    <n v="245.19"/>
    <x v="5"/>
    <n v="0"/>
    <n v="1"/>
    <s v="New"/>
    <n v="24"/>
  </r>
  <r>
    <s v="C181"/>
    <d v="2025-07-12T00:00:00"/>
    <x v="12"/>
    <x v="0"/>
    <s v="Shampoo"/>
    <n v="292.11"/>
    <x v="0"/>
    <n v="1"/>
    <n v="3"/>
    <s v="Repeat"/>
    <n v="42"/>
  </r>
  <r>
    <s v="C005"/>
    <d v="2025-08-05T00:00:00"/>
    <x v="5"/>
    <x v="2"/>
    <s v="Keyboard"/>
    <n v="432.05"/>
    <x v="5"/>
    <n v="1"/>
    <n v="4"/>
    <s v="Repeat"/>
    <n v="32"/>
  </r>
  <r>
    <s v="C140"/>
    <d v="2025-09-01T00:00:00"/>
    <x v="11"/>
    <x v="0"/>
    <s v="Shampoo"/>
    <n v="176.97"/>
    <x v="3"/>
    <n v="1"/>
    <n v="5"/>
    <s v="Repeat"/>
    <n v="34"/>
  </r>
  <r>
    <s v="C068"/>
    <d v="2025-09-11T00:00:00"/>
    <x v="11"/>
    <x v="2"/>
    <s v="Smartphone"/>
    <n v="279.60000000000002"/>
    <x v="6"/>
    <n v="0"/>
    <n v="1"/>
    <s v="New"/>
    <n v="24"/>
  </r>
  <r>
    <s v="C132"/>
    <d v="2025-05-29T00:00:00"/>
    <x v="2"/>
    <x v="2"/>
    <s v="Laptop"/>
    <n v="64.17"/>
    <x v="2"/>
    <n v="1"/>
    <n v="4"/>
    <s v="Repeat"/>
    <n v="32"/>
  </r>
  <r>
    <s v="C063"/>
    <d v="2025-04-28T00:00:00"/>
    <x v="6"/>
    <x v="3"/>
    <s v="Sneakers"/>
    <n v="254.1"/>
    <x v="1"/>
    <n v="1"/>
    <n v="4"/>
    <s v="Repeat"/>
    <n v="32"/>
  </r>
  <r>
    <s v="C101"/>
    <d v="2025-04-11T00:00:00"/>
    <x v="6"/>
    <x v="3"/>
    <s v="Soccer Ball"/>
    <n v="373.18"/>
    <x v="6"/>
    <n v="1"/>
    <n v="6"/>
    <s v="Repeat"/>
    <n v="19"/>
  </r>
  <r>
    <s v="C057"/>
    <d v="2025-09-25T00:00:00"/>
    <x v="11"/>
    <x v="3"/>
    <s v="Tennis Racket"/>
    <n v="161.63"/>
    <x v="3"/>
    <n v="1"/>
    <n v="10"/>
    <s v="Repeat"/>
    <n v="1"/>
  </r>
  <r>
    <s v="C141"/>
    <d v="2025-04-07T00:00:00"/>
    <x v="6"/>
    <x v="1"/>
    <s v="Sweater"/>
    <n v="82.96"/>
    <x v="6"/>
    <n v="1"/>
    <n v="2"/>
    <s v="Repeat"/>
    <n v="37"/>
  </r>
  <r>
    <s v="C148"/>
    <d v="2025-04-17T00:00:00"/>
    <x v="6"/>
    <x v="1"/>
    <s v="Jacket"/>
    <n v="210.28"/>
    <x v="0"/>
    <n v="1"/>
    <n v="4"/>
    <s v="Repeat"/>
    <n v="32"/>
  </r>
  <r>
    <s v="C092"/>
    <d v="2025-11-26T00:00:00"/>
    <x v="1"/>
    <x v="3"/>
    <s v="Dumbbells"/>
    <n v="143.75"/>
    <x v="4"/>
    <n v="1"/>
    <n v="5"/>
    <s v="Repeat"/>
    <n v="34"/>
  </r>
  <r>
    <s v="C152"/>
    <d v="2025-11-19T00:00:00"/>
    <x v="1"/>
    <x v="0"/>
    <s v="Perfume"/>
    <n v="426.24"/>
    <x v="4"/>
    <n v="1"/>
    <n v="4"/>
    <s v="Repeat"/>
    <n v="32"/>
  </r>
  <r>
    <s v="C195"/>
    <d v="2025-02-25T00:00:00"/>
    <x v="8"/>
    <x v="2"/>
    <s v="Keyboard"/>
    <n v="325.52999999999997"/>
    <x v="1"/>
    <n v="1"/>
    <n v="5"/>
    <s v="Repeat"/>
    <n v="34"/>
  </r>
  <r>
    <s v="C139"/>
    <d v="2025-05-04T00:00:00"/>
    <x v="2"/>
    <x v="4"/>
    <s v="Blender"/>
    <n v="237.13"/>
    <x v="0"/>
    <n v="1"/>
    <n v="5"/>
    <s v="Repeat"/>
    <n v="34"/>
  </r>
  <r>
    <s v="C107"/>
    <d v="2025-03-04T00:00:00"/>
    <x v="3"/>
    <x v="4"/>
    <s v="Blender"/>
    <n v="98.36"/>
    <x v="1"/>
    <n v="1"/>
    <n v="5"/>
    <s v="Repeat"/>
    <n v="34"/>
  </r>
  <r>
    <s v="C122"/>
    <d v="2025-06-15T00:00:00"/>
    <x v="9"/>
    <x v="4"/>
    <s v="Lamp"/>
    <n v="353.37"/>
    <x v="3"/>
    <n v="1"/>
    <n v="5"/>
    <s v="Repeat"/>
    <n v="34"/>
  </r>
  <r>
    <s v="C112"/>
    <d v="2026-01-02T00:00:00"/>
    <x v="10"/>
    <x v="3"/>
    <s v="Yoga Mat"/>
    <n v="146.5"/>
    <x v="6"/>
    <n v="1"/>
    <n v="6"/>
    <s v="Repeat"/>
    <n v="19"/>
  </r>
  <r>
    <s v="C100"/>
    <d v="2025-09-11T00:00:00"/>
    <x v="11"/>
    <x v="3"/>
    <s v="Sneakers"/>
    <n v="103.3"/>
    <x v="5"/>
    <n v="1"/>
    <n v="2"/>
    <s v="Repeat"/>
    <n v="37"/>
  </r>
  <r>
    <s v="C029"/>
    <d v="2025-04-09T00:00:00"/>
    <x v="6"/>
    <x v="1"/>
    <s v="Jeans"/>
    <n v="32.49"/>
    <x v="6"/>
    <n v="1"/>
    <n v="6"/>
    <s v="Repeat"/>
    <n v="19"/>
  </r>
  <r>
    <s v="C083"/>
    <d v="2025-04-22T00:00:00"/>
    <x v="6"/>
    <x v="2"/>
    <s v="Keyboard"/>
    <n v="181.88"/>
    <x v="3"/>
    <n v="1"/>
    <n v="3"/>
    <s v="New"/>
    <n v="42"/>
  </r>
  <r>
    <s v="C097"/>
    <d v="2025-06-19T00:00:00"/>
    <x v="9"/>
    <x v="2"/>
    <s v="Mouse"/>
    <n v="412.42"/>
    <x v="3"/>
    <n v="1"/>
    <n v="2"/>
    <s v="Repeat"/>
    <n v="37"/>
  </r>
  <r>
    <s v="C020"/>
    <d v="2026-01-08T00:00:00"/>
    <x v="10"/>
    <x v="3"/>
    <s v="Soccer Ball"/>
    <n v="431.8"/>
    <x v="0"/>
    <n v="1"/>
    <n v="5"/>
    <s v="Repeat"/>
    <n v="34"/>
  </r>
  <r>
    <s v="C127"/>
    <d v="2025-07-15T00:00:00"/>
    <x v="12"/>
    <x v="4"/>
    <s v="Lamp"/>
    <n v="302.52"/>
    <x v="4"/>
    <n v="1"/>
    <n v="5"/>
    <s v="Repeat"/>
    <n v="34"/>
  </r>
  <r>
    <s v="C198"/>
    <d v="2025-06-27T00:00:00"/>
    <x v="9"/>
    <x v="0"/>
    <s v="Lotion"/>
    <n v="443.86"/>
    <x v="5"/>
    <n v="1"/>
    <n v="5"/>
    <s v="Repeat"/>
    <n v="34"/>
  </r>
  <r>
    <s v="C076"/>
    <d v="2025-11-21T00:00:00"/>
    <x v="1"/>
    <x v="0"/>
    <s v="Perfume"/>
    <n v="142.18"/>
    <x v="5"/>
    <n v="1"/>
    <n v="6"/>
    <s v="Repeat"/>
    <n v="19"/>
  </r>
  <r>
    <s v="C001"/>
    <d v="2025-11-30T00:00:00"/>
    <x v="1"/>
    <x v="0"/>
    <s v="Shampoo"/>
    <n v="426.57"/>
    <x v="0"/>
    <n v="1"/>
    <n v="4"/>
    <s v="Repeat"/>
    <n v="32"/>
  </r>
  <r>
    <s v="C153"/>
    <d v="2025-09-18T00:00:00"/>
    <x v="11"/>
    <x v="2"/>
    <s v="Keyboard"/>
    <n v="320.55"/>
    <x v="6"/>
    <n v="1"/>
    <n v="3"/>
    <s v="Repeat"/>
    <n v="42"/>
  </r>
  <r>
    <s v="C197"/>
    <d v="2025-06-08T00:00:00"/>
    <x v="9"/>
    <x v="0"/>
    <s v="Shampoo"/>
    <n v="452.79"/>
    <x v="2"/>
    <n v="1"/>
    <n v="4"/>
    <s v="Repeat"/>
    <n v="32"/>
  </r>
  <r>
    <s v="C162"/>
    <d v="2025-06-03T00:00:00"/>
    <x v="9"/>
    <x v="3"/>
    <s v="Sneakers"/>
    <n v="418.22"/>
    <x v="6"/>
    <n v="1"/>
    <n v="4"/>
    <s v="Repeat"/>
    <n v="32"/>
  </r>
  <r>
    <s v="C059"/>
    <d v="2025-10-02T00:00:00"/>
    <x v="4"/>
    <x v="4"/>
    <s v="Lamp"/>
    <n v="412.55"/>
    <x v="2"/>
    <n v="1"/>
    <n v="2"/>
    <s v="New"/>
    <n v="37"/>
  </r>
  <r>
    <s v="C016"/>
    <d v="2025-07-27T00:00:00"/>
    <x v="12"/>
    <x v="2"/>
    <s v="Keyboard"/>
    <n v="148.24"/>
    <x v="6"/>
    <n v="1"/>
    <n v="9"/>
    <s v="Repeat"/>
    <n v="2"/>
  </r>
  <r>
    <s v="C016"/>
    <d v="2025-08-28T00:00:00"/>
    <x v="5"/>
    <x v="3"/>
    <s v="Soccer Ball"/>
    <n v="273.20999999999998"/>
    <x v="6"/>
    <n v="1"/>
    <n v="9"/>
    <s v="Repeat"/>
    <n v="2"/>
  </r>
  <r>
    <s v="C029"/>
    <d v="2025-10-31T00:00:00"/>
    <x v="4"/>
    <x v="4"/>
    <s v="Blender"/>
    <n v="296.10000000000002"/>
    <x v="1"/>
    <n v="1"/>
    <n v="6"/>
    <s v="Repeat"/>
    <n v="19"/>
  </r>
  <r>
    <s v="C061"/>
    <d v="2026-01-24T00:00:00"/>
    <x v="10"/>
    <x v="0"/>
    <s v="Shampoo"/>
    <n v="428.11"/>
    <x v="3"/>
    <n v="1"/>
    <n v="4"/>
    <s v="Repeat"/>
    <n v="32"/>
  </r>
  <r>
    <s v="C111"/>
    <d v="2025-08-14T00:00:00"/>
    <x v="5"/>
    <x v="1"/>
    <s v="Jeans"/>
    <n v="291.07"/>
    <x v="5"/>
    <n v="1"/>
    <n v="6"/>
    <s v="Repeat"/>
    <n v="19"/>
  </r>
  <r>
    <s v="C155"/>
    <d v="2025-10-25T00:00:00"/>
    <x v="4"/>
    <x v="0"/>
    <s v="Lotion"/>
    <n v="177.42"/>
    <x v="4"/>
    <n v="1"/>
    <n v="3"/>
    <s v="Repeat"/>
    <n v="42"/>
  </r>
  <r>
    <s v="C128"/>
    <d v="2025-10-12T00:00:00"/>
    <x v="4"/>
    <x v="2"/>
    <s v="Laptop"/>
    <n v="475.85"/>
    <x v="1"/>
    <n v="1"/>
    <n v="2"/>
    <s v="New"/>
    <n v="37"/>
  </r>
  <r>
    <s v="C175"/>
    <d v="2025-04-23T00:00:00"/>
    <x v="6"/>
    <x v="4"/>
    <s v="Chair"/>
    <n v="151.07"/>
    <x v="0"/>
    <n v="1"/>
    <n v="3"/>
    <s v="Repeat"/>
    <n v="42"/>
  </r>
  <r>
    <s v="C145"/>
    <d v="2025-11-12T00:00:00"/>
    <x v="1"/>
    <x v="1"/>
    <s v="Jeans"/>
    <n v="290.98"/>
    <x v="3"/>
    <n v="1"/>
    <n v="2"/>
    <s v="Repeat"/>
    <n v="37"/>
  </r>
  <r>
    <s v="C087"/>
    <d v="2025-12-17T00:00:00"/>
    <x v="7"/>
    <x v="1"/>
    <s v="Sweater"/>
    <n v="102.81"/>
    <x v="5"/>
    <n v="1"/>
    <n v="2"/>
    <s v="New"/>
    <n v="37"/>
  </r>
  <r>
    <s v="C069"/>
    <d v="2025-05-10T00:00:00"/>
    <x v="2"/>
    <x v="1"/>
    <s v="Jacket"/>
    <n v="293.63"/>
    <x v="5"/>
    <n v="1"/>
    <n v="7"/>
    <s v="Repeat"/>
    <n v="4"/>
  </r>
  <r>
    <s v="C065"/>
    <d v="2025-08-18T00:00:00"/>
    <x v="5"/>
    <x v="4"/>
    <s v="Microwave"/>
    <n v="261.89999999999998"/>
    <x v="1"/>
    <n v="1"/>
    <n v="4"/>
    <s v="Repeat"/>
    <n v="32"/>
  </r>
  <r>
    <s v="C108"/>
    <d v="2025-12-17T00:00:00"/>
    <x v="7"/>
    <x v="4"/>
    <s v="Lamp"/>
    <n v="342.21"/>
    <x v="6"/>
    <n v="1"/>
    <n v="4"/>
    <s v="Repeat"/>
    <n v="32"/>
  </r>
  <r>
    <s v="C189"/>
    <d v="2025-04-13T00:00:00"/>
    <x v="6"/>
    <x v="2"/>
    <s v="Laptop"/>
    <n v="298.67"/>
    <x v="0"/>
    <n v="1"/>
    <n v="3"/>
    <s v="New"/>
    <n v="42"/>
  </r>
  <r>
    <s v="C194"/>
    <d v="2026-01-15T00:00:00"/>
    <x v="10"/>
    <x v="3"/>
    <s v="Sneakers"/>
    <n v="334.28"/>
    <x v="4"/>
    <n v="1"/>
    <n v="7"/>
    <s v="Repeat"/>
    <n v="4"/>
  </r>
  <r>
    <s v="C170"/>
    <d v="2025-08-17T00:00:00"/>
    <x v="5"/>
    <x v="0"/>
    <s v="Foundation"/>
    <n v="62.17"/>
    <x v="1"/>
    <n v="1"/>
    <n v="4"/>
    <s v="Repeat"/>
    <n v="32"/>
  </r>
  <r>
    <s v="C020"/>
    <d v="2025-06-26T00:00:00"/>
    <x v="9"/>
    <x v="2"/>
    <s v="Laptop"/>
    <n v="484.12"/>
    <x v="4"/>
    <n v="1"/>
    <n v="5"/>
    <s v="Repeat"/>
    <n v="34"/>
  </r>
  <r>
    <s v="C102"/>
    <d v="2025-12-11T00:00:00"/>
    <x v="7"/>
    <x v="3"/>
    <s v="Dumbbells"/>
    <n v="205.27"/>
    <x v="5"/>
    <n v="1"/>
    <n v="5"/>
    <s v="Repeat"/>
    <n v="34"/>
  </r>
  <r>
    <s v="C073"/>
    <d v="2025-04-25T00:00:00"/>
    <x v="6"/>
    <x v="4"/>
    <s v="Microwave"/>
    <n v="307.76"/>
    <x v="3"/>
    <n v="1"/>
    <n v="5"/>
    <s v="Repeat"/>
    <n v="34"/>
  </r>
  <r>
    <s v="C059"/>
    <d v="2025-08-14T00:00:00"/>
    <x v="5"/>
    <x v="4"/>
    <s v="Chair"/>
    <n v="81.64"/>
    <x v="2"/>
    <n v="1"/>
    <n v="2"/>
    <s v="Repeat"/>
    <n v="37"/>
  </r>
  <r>
    <s v="C189"/>
    <d v="2025-11-08T00:00:00"/>
    <x v="1"/>
    <x v="2"/>
    <s v="Mouse"/>
    <n v="429.97"/>
    <x v="5"/>
    <n v="1"/>
    <n v="3"/>
    <s v="Repeat"/>
    <n v="42"/>
  </r>
  <r>
    <s v="C025"/>
    <d v="2026-01-03T00:00:00"/>
    <x v="10"/>
    <x v="0"/>
    <s v="Shampoo"/>
    <n v="190.25"/>
    <x v="1"/>
    <n v="1"/>
    <n v="6"/>
    <s v="Repeat"/>
    <n v="19"/>
  </r>
  <r>
    <s v="C003"/>
    <d v="2025-11-04T00:00:00"/>
    <x v="1"/>
    <x v="3"/>
    <s v="Dumbbells"/>
    <n v="389.73"/>
    <x v="2"/>
    <n v="1"/>
    <n v="5"/>
    <s v="Repeat"/>
    <n v="34"/>
  </r>
  <r>
    <s v="C180"/>
    <d v="2025-03-28T00:00:00"/>
    <x v="3"/>
    <x v="0"/>
    <s v="Shampoo"/>
    <n v="83.06"/>
    <x v="6"/>
    <n v="1"/>
    <n v="6"/>
    <s v="Repeat"/>
    <n v="19"/>
  </r>
  <r>
    <s v="C028"/>
    <d v="2026-01-13T00:00:00"/>
    <x v="10"/>
    <x v="1"/>
    <s v="T-shirt"/>
    <n v="242.37"/>
    <x v="3"/>
    <n v="1"/>
    <n v="3"/>
    <s v="Repeat"/>
    <n v="42"/>
  </r>
  <r>
    <s v="C196"/>
    <d v="2025-07-08T00:00:00"/>
    <x v="12"/>
    <x v="0"/>
    <s v="Perfume"/>
    <n v="134.13999999999999"/>
    <x v="6"/>
    <n v="1"/>
    <n v="5"/>
    <s v="Repeat"/>
    <n v="34"/>
  </r>
  <r>
    <s v="C049"/>
    <d v="2025-07-26T00:00:00"/>
    <x v="12"/>
    <x v="2"/>
    <s v="Headphones"/>
    <n v="52.12"/>
    <x v="6"/>
    <n v="1"/>
    <n v="4"/>
    <s v="Repeat"/>
    <n v="32"/>
  </r>
  <r>
    <s v="C164"/>
    <d v="2025-08-27T00:00:00"/>
    <x v="5"/>
    <x v="2"/>
    <s v="Headphones"/>
    <n v="486.88"/>
    <x v="2"/>
    <n v="1"/>
    <n v="5"/>
    <s v="Repeat"/>
    <n v="34"/>
  </r>
  <r>
    <s v="C118"/>
    <d v="2025-06-19T00:00:00"/>
    <x v="9"/>
    <x v="2"/>
    <s v="Keyboard"/>
    <n v="48.18"/>
    <x v="2"/>
    <n v="1"/>
    <n v="5"/>
    <s v="Repeat"/>
    <n v="34"/>
  </r>
  <r>
    <s v="C188"/>
    <d v="2025-10-09T00:00:00"/>
    <x v="4"/>
    <x v="1"/>
    <s v="Jeans"/>
    <n v="255.94"/>
    <x v="6"/>
    <n v="1"/>
    <n v="6"/>
    <s v="Repeat"/>
    <n v="19"/>
  </r>
  <r>
    <s v="C108"/>
    <d v="2026-01-15T00:00:00"/>
    <x v="10"/>
    <x v="1"/>
    <s v="Jacket"/>
    <n v="44.3"/>
    <x v="2"/>
    <n v="1"/>
    <n v="4"/>
    <s v="Repeat"/>
    <n v="32"/>
  </r>
  <r>
    <s v="C016"/>
    <d v="2025-06-14T00:00:00"/>
    <x v="9"/>
    <x v="1"/>
    <s v="Jacket"/>
    <n v="146.19999999999999"/>
    <x v="1"/>
    <n v="1"/>
    <n v="9"/>
    <s v="Repeat"/>
    <n v="2"/>
  </r>
  <r>
    <s v="C081"/>
    <d v="2025-02-22T00:00:00"/>
    <x v="8"/>
    <x v="3"/>
    <s v="Tennis Racket"/>
    <n v="45.53"/>
    <x v="3"/>
    <n v="1"/>
    <n v="4"/>
    <s v="Repeat"/>
    <n v="32"/>
  </r>
  <r>
    <s v="C199"/>
    <d v="2025-10-11T00:00:00"/>
    <x v="4"/>
    <x v="1"/>
    <s v="Shoes"/>
    <n v="494.33"/>
    <x v="3"/>
    <n v="1"/>
    <n v="7"/>
    <s v="Repeat"/>
    <n v="4"/>
  </r>
  <r>
    <s v="C179"/>
    <d v="2025-04-05T00:00:00"/>
    <x v="6"/>
    <x v="0"/>
    <s v="Lotion"/>
    <n v="122.44"/>
    <x v="2"/>
    <n v="1"/>
    <n v="3"/>
    <s v="Repeat"/>
    <n v="42"/>
  </r>
  <r>
    <s v="C018"/>
    <d v="2025-11-09T00:00:00"/>
    <x v="1"/>
    <x v="2"/>
    <s v="Headphones"/>
    <n v="79.13"/>
    <x v="3"/>
    <n v="1"/>
    <n v="6"/>
    <s v="Repeat"/>
    <n v="19"/>
  </r>
  <r>
    <s v="C025"/>
    <d v="2025-05-20T00:00:00"/>
    <x v="2"/>
    <x v="4"/>
    <s v="Chair"/>
    <n v="490.64"/>
    <x v="4"/>
    <n v="1"/>
    <n v="6"/>
    <s v="Repeat"/>
    <n v="19"/>
  </r>
  <r>
    <s v="C148"/>
    <d v="2025-09-11T00:00:00"/>
    <x v="11"/>
    <x v="3"/>
    <s v="Tennis Racket"/>
    <n v="343.55"/>
    <x v="1"/>
    <n v="1"/>
    <n v="4"/>
    <s v="Repeat"/>
    <n v="32"/>
  </r>
  <r>
    <s v="C109"/>
    <d v="2025-08-01T00:00:00"/>
    <x v="5"/>
    <x v="0"/>
    <s v="Perfume"/>
    <n v="490.34"/>
    <x v="1"/>
    <n v="1"/>
    <n v="4"/>
    <s v="Repeat"/>
    <n v="32"/>
  </r>
  <r>
    <s v="C012"/>
    <d v="2026-02-09T00:00:00"/>
    <x v="0"/>
    <x v="0"/>
    <s v="Shampoo"/>
    <n v="180.9"/>
    <x v="5"/>
    <n v="1"/>
    <n v="4"/>
    <s v="Repeat"/>
    <n v="32"/>
  </r>
  <r>
    <s v="C047"/>
    <d v="2025-09-19T00:00:00"/>
    <x v="11"/>
    <x v="0"/>
    <s v="Lotion"/>
    <n v="122.19"/>
    <x v="3"/>
    <n v="1"/>
    <n v="3"/>
    <s v="Repeat"/>
    <n v="42"/>
  </r>
  <r>
    <s v="C111"/>
    <d v="2025-12-17T00:00:00"/>
    <x v="7"/>
    <x v="1"/>
    <s v="Jeans"/>
    <n v="389.91"/>
    <x v="0"/>
    <n v="1"/>
    <n v="6"/>
    <s v="Repeat"/>
    <n v="19"/>
  </r>
  <r>
    <s v="C078"/>
    <d v="2025-04-02T00:00:00"/>
    <x v="6"/>
    <x v="2"/>
    <s v="Headphones"/>
    <n v="38.99"/>
    <x v="1"/>
    <n v="1"/>
    <n v="5"/>
    <s v="Repeat"/>
    <n v="34"/>
  </r>
  <r>
    <s v="C005"/>
    <d v="2025-06-22T00:00:00"/>
    <x v="9"/>
    <x v="1"/>
    <s v="Shoes"/>
    <n v="182.26"/>
    <x v="4"/>
    <n v="1"/>
    <n v="4"/>
    <s v="Repeat"/>
    <n v="32"/>
  </r>
  <r>
    <s v="C197"/>
    <d v="2025-08-14T00:00:00"/>
    <x v="5"/>
    <x v="1"/>
    <s v="Jacket"/>
    <n v="124.84"/>
    <x v="0"/>
    <n v="1"/>
    <n v="4"/>
    <s v="Repeat"/>
    <n v="32"/>
  </r>
  <r>
    <s v="C108"/>
    <d v="2025-04-13T00:00:00"/>
    <x v="6"/>
    <x v="2"/>
    <s v="Smartphone"/>
    <n v="40.92"/>
    <x v="1"/>
    <n v="1"/>
    <n v="4"/>
    <s v="Repeat"/>
    <n v="32"/>
  </r>
  <r>
    <s v="C017"/>
    <d v="2025-04-23T00:00:00"/>
    <x v="6"/>
    <x v="2"/>
    <s v="Laptop"/>
    <n v="311.41000000000003"/>
    <x v="1"/>
    <n v="1"/>
    <n v="6"/>
    <s v="Repeat"/>
    <n v="19"/>
  </r>
  <r>
    <s v="C130"/>
    <d v="2025-10-02T00:00:00"/>
    <x v="4"/>
    <x v="4"/>
    <s v="Blender"/>
    <n v="180.61"/>
    <x v="5"/>
    <n v="1"/>
    <n v="5"/>
    <s v="Repeat"/>
    <n v="34"/>
  </r>
  <r>
    <s v="C186"/>
    <d v="2025-03-31T00:00:00"/>
    <x v="3"/>
    <x v="3"/>
    <s v="Dumbbells"/>
    <n v="168.14"/>
    <x v="2"/>
    <n v="1"/>
    <n v="3"/>
    <s v="Repeat"/>
    <n v="42"/>
  </r>
  <r>
    <s v="C095"/>
    <d v="2026-01-18T00:00:00"/>
    <x v="10"/>
    <x v="4"/>
    <s v="Toaster"/>
    <n v="283.36"/>
    <x v="2"/>
    <n v="1"/>
    <n v="2"/>
    <s v="Repeat"/>
    <n v="37"/>
  </r>
  <r>
    <s v="C077"/>
    <d v="2025-12-31T00:00:00"/>
    <x v="7"/>
    <x v="4"/>
    <s v="Microwave"/>
    <n v="433.24"/>
    <x v="3"/>
    <n v="1"/>
    <n v="3"/>
    <s v="Repeat"/>
    <n v="42"/>
  </r>
  <r>
    <s v="C053"/>
    <d v="2025-09-09T00:00:00"/>
    <x v="11"/>
    <x v="2"/>
    <s v="Keyboard"/>
    <n v="452.64"/>
    <x v="3"/>
    <n v="1"/>
    <n v="3"/>
    <s v="New"/>
    <n v="42"/>
  </r>
  <r>
    <s v="C130"/>
    <d v="2026-01-12T00:00:00"/>
    <x v="10"/>
    <x v="2"/>
    <s v="Smartphone"/>
    <n v="253.4"/>
    <x v="2"/>
    <n v="1"/>
    <n v="5"/>
    <s v="Repeat"/>
    <n v="34"/>
  </r>
  <r>
    <s v="C047"/>
    <d v="2026-01-09T00:00:00"/>
    <x v="10"/>
    <x v="1"/>
    <s v="Jeans"/>
    <n v="239.98"/>
    <x v="5"/>
    <n v="1"/>
    <n v="3"/>
    <s v="Repeat"/>
    <n v="42"/>
  </r>
  <r>
    <s v="C156"/>
    <d v="2025-04-17T00:00:00"/>
    <x v="6"/>
    <x v="3"/>
    <s v="Dumbbells"/>
    <n v="165.97"/>
    <x v="1"/>
    <n v="1"/>
    <n v="3"/>
    <s v="Repeat"/>
    <n v="42"/>
  </r>
  <r>
    <s v="C150"/>
    <d v="2025-12-24T00:00:00"/>
    <x v="7"/>
    <x v="4"/>
    <s v="Microwave"/>
    <n v="148.46"/>
    <x v="1"/>
    <n v="1"/>
    <n v="3"/>
    <s v="Repeat"/>
    <n v="42"/>
  </r>
  <r>
    <s v="C151"/>
    <d v="2025-10-03T00:00:00"/>
    <x v="4"/>
    <x v="1"/>
    <s v="Jacket"/>
    <n v="105.4"/>
    <x v="6"/>
    <n v="0"/>
    <n v="1"/>
    <s v="New"/>
    <n v="24"/>
  </r>
  <r>
    <s v="C115"/>
    <d v="2025-07-20T00:00:00"/>
    <x v="12"/>
    <x v="2"/>
    <s v="Laptop"/>
    <n v="187.66"/>
    <x v="0"/>
    <n v="1"/>
    <n v="2"/>
    <s v="Repeat"/>
    <n v="37"/>
  </r>
  <r>
    <s v="C198"/>
    <d v="2025-08-02T00:00:00"/>
    <x v="5"/>
    <x v="3"/>
    <s v="Tennis Racket"/>
    <n v="133.41999999999999"/>
    <x v="0"/>
    <n v="1"/>
    <n v="5"/>
    <s v="Repeat"/>
    <n v="34"/>
  </r>
  <r>
    <s v="C183"/>
    <d v="2026-01-23T00:00:00"/>
    <x v="10"/>
    <x v="4"/>
    <s v="Microwave"/>
    <n v="137.66999999999999"/>
    <x v="2"/>
    <n v="1"/>
    <n v="9"/>
    <s v="Repeat"/>
    <n v="2"/>
  </r>
  <r>
    <s v="C159"/>
    <d v="2025-06-23T00:00:00"/>
    <x v="9"/>
    <x v="4"/>
    <s v="Lamp"/>
    <n v="123.55"/>
    <x v="6"/>
    <n v="1"/>
    <n v="5"/>
    <s v="Repeat"/>
    <n v="34"/>
  </r>
  <r>
    <s v="C188"/>
    <d v="2025-12-19T00:00:00"/>
    <x v="7"/>
    <x v="4"/>
    <s v="Blender"/>
    <n v="195.7"/>
    <x v="1"/>
    <n v="1"/>
    <n v="6"/>
    <s v="Repeat"/>
    <n v="19"/>
  </r>
  <r>
    <s v="C042"/>
    <d v="2025-07-17T00:00:00"/>
    <x v="12"/>
    <x v="2"/>
    <s v="Laptop"/>
    <n v="438.28"/>
    <x v="6"/>
    <n v="1"/>
    <n v="3"/>
    <s v="Repeat"/>
    <n v="42"/>
  </r>
  <r>
    <s v="C138"/>
    <d v="2025-10-03T00:00:00"/>
    <x v="4"/>
    <x v="3"/>
    <s v="Soccer Ball"/>
    <n v="92.46"/>
    <x v="3"/>
    <n v="1"/>
    <n v="4"/>
    <s v="Repeat"/>
    <n v="32"/>
  </r>
  <r>
    <s v="C179"/>
    <d v="2025-11-03T00:00:00"/>
    <x v="1"/>
    <x v="2"/>
    <s v="Laptop"/>
    <n v="342.83"/>
    <x v="3"/>
    <n v="1"/>
    <n v="3"/>
    <s v="Repeat"/>
    <n v="42"/>
  </r>
  <r>
    <s v="C029"/>
    <d v="2025-07-19T00:00:00"/>
    <x v="12"/>
    <x v="1"/>
    <s v="T-shirt"/>
    <n v="314.33999999999997"/>
    <x v="4"/>
    <n v="1"/>
    <n v="6"/>
    <s v="Repeat"/>
    <n v="19"/>
  </r>
  <r>
    <s v="C137"/>
    <d v="2025-08-08T00:00:00"/>
    <x v="5"/>
    <x v="3"/>
    <s v="Soccer Ball"/>
    <n v="208.92"/>
    <x v="1"/>
    <n v="1"/>
    <n v="5"/>
    <s v="Repeat"/>
    <n v="34"/>
  </r>
  <r>
    <s v="C090"/>
    <d v="2025-03-27T00:00:00"/>
    <x v="3"/>
    <x v="2"/>
    <s v="Smartphone"/>
    <n v="97.16"/>
    <x v="3"/>
    <n v="0"/>
    <n v="1"/>
    <s v="New"/>
    <n v="24"/>
  </r>
  <r>
    <s v="C189"/>
    <d v="2026-01-01T00:00:00"/>
    <x v="10"/>
    <x v="2"/>
    <s v="Headphones"/>
    <n v="121.61"/>
    <x v="2"/>
    <n v="1"/>
    <n v="3"/>
    <s v="Repeat"/>
    <n v="42"/>
  </r>
  <r>
    <s v="C011"/>
    <d v="2025-06-17T00:00:00"/>
    <x v="9"/>
    <x v="2"/>
    <s v="Keyboard"/>
    <n v="384.81"/>
    <x v="6"/>
    <n v="0"/>
    <n v="1"/>
    <s v="New"/>
    <n v="24"/>
  </r>
  <r>
    <s v="C033"/>
    <d v="2025-12-16T00:00:00"/>
    <x v="7"/>
    <x v="3"/>
    <s v="Tennis Racket"/>
    <n v="75.33"/>
    <x v="4"/>
    <n v="1"/>
    <n v="5"/>
    <s v="Repeat"/>
    <n v="34"/>
  </r>
  <r>
    <s v="C134"/>
    <d v="2026-02-21T00:00:00"/>
    <x v="0"/>
    <x v="0"/>
    <s v="Foundation"/>
    <n v="186.49"/>
    <x v="1"/>
    <n v="1"/>
    <n v="6"/>
    <s v="Repeat"/>
    <n v="19"/>
  </r>
  <r>
    <s v="C043"/>
    <d v="2025-05-16T00:00:00"/>
    <x v="2"/>
    <x v="3"/>
    <s v="Yoga Mat"/>
    <n v="298.33"/>
    <x v="1"/>
    <n v="1"/>
    <n v="6"/>
    <s v="Repeat"/>
    <n v="19"/>
  </r>
  <r>
    <s v="C048"/>
    <d v="2026-01-14T00:00:00"/>
    <x v="10"/>
    <x v="3"/>
    <s v="Soccer Ball"/>
    <n v="239.15"/>
    <x v="0"/>
    <n v="1"/>
    <n v="2"/>
    <s v="Repeat"/>
    <n v="37"/>
  </r>
  <r>
    <s v="C016"/>
    <d v="2025-09-06T00:00:00"/>
    <x v="11"/>
    <x v="4"/>
    <s v="Chair"/>
    <n v="47.86"/>
    <x v="2"/>
    <n v="1"/>
    <n v="9"/>
    <s v="Repeat"/>
    <n v="2"/>
  </r>
  <r>
    <s v="C110"/>
    <d v="2025-03-24T00:00:00"/>
    <x v="3"/>
    <x v="1"/>
    <s v="Jacket"/>
    <n v="439.5"/>
    <x v="1"/>
    <n v="1"/>
    <n v="3"/>
    <s v="Repeat"/>
    <n v="42"/>
  </r>
  <r>
    <s v="C107"/>
    <d v="2025-11-30T00:00:00"/>
    <x v="1"/>
    <x v="3"/>
    <s v="Tennis Racket"/>
    <n v="384.52"/>
    <x v="6"/>
    <n v="1"/>
    <n v="5"/>
    <s v="Repeat"/>
    <n v="34"/>
  </r>
  <r>
    <s v="C013"/>
    <d v="2025-08-29T00:00:00"/>
    <x v="5"/>
    <x v="3"/>
    <s v="Dumbbells"/>
    <n v="297.08999999999997"/>
    <x v="6"/>
    <n v="0"/>
    <n v="1"/>
    <s v="New"/>
    <n v="24"/>
  </r>
  <r>
    <s v="C087"/>
    <d v="2025-05-24T00:00:00"/>
    <x v="2"/>
    <x v="2"/>
    <s v="Headphones"/>
    <n v="313.3"/>
    <x v="6"/>
    <n v="1"/>
    <n v="2"/>
    <s v="Repeat"/>
    <n v="37"/>
  </r>
  <r>
    <s v="C113"/>
    <d v="2025-11-16T00:00:00"/>
    <x v="1"/>
    <x v="3"/>
    <s v="Soccer Ball"/>
    <n v="242.85"/>
    <x v="5"/>
    <n v="1"/>
    <n v="5"/>
    <s v="Repeat"/>
    <n v="34"/>
  </r>
  <r>
    <s v="C062"/>
    <d v="2025-06-24T00:00:00"/>
    <x v="9"/>
    <x v="3"/>
    <s v="Yoga Mat"/>
    <n v="48.51"/>
    <x v="5"/>
    <n v="1"/>
    <n v="3"/>
    <s v="Repeat"/>
    <n v="42"/>
  </r>
  <r>
    <s v="C056"/>
    <d v="2026-01-06T00:00:00"/>
    <x v="10"/>
    <x v="1"/>
    <s v="Sweater"/>
    <n v="199.15"/>
    <x v="4"/>
    <n v="1"/>
    <n v="3"/>
    <s v="Repeat"/>
    <n v="42"/>
  </r>
  <r>
    <s v="C031"/>
    <d v="2025-06-14T00:00:00"/>
    <x v="9"/>
    <x v="2"/>
    <s v="Headphones"/>
    <n v="361.84"/>
    <x v="6"/>
    <n v="1"/>
    <n v="5"/>
    <s v="Repeat"/>
    <n v="34"/>
  </r>
  <r>
    <s v="C139"/>
    <d v="2025-08-30T00:00:00"/>
    <x v="5"/>
    <x v="3"/>
    <s v="Tennis Racket"/>
    <n v="394.33"/>
    <x v="5"/>
    <n v="1"/>
    <n v="5"/>
    <s v="Repeat"/>
    <n v="34"/>
  </r>
  <r>
    <s v="C072"/>
    <d v="2025-12-16T00:00:00"/>
    <x v="7"/>
    <x v="0"/>
    <s v="Foundation"/>
    <n v="110.75"/>
    <x v="6"/>
    <n v="1"/>
    <n v="4"/>
    <s v="Repeat"/>
    <n v="32"/>
  </r>
  <r>
    <s v="C024"/>
    <d v="2025-08-10T00:00:00"/>
    <x v="5"/>
    <x v="0"/>
    <s v="Shampoo"/>
    <n v="242.09"/>
    <x v="1"/>
    <n v="1"/>
    <n v="3"/>
    <s v="Repeat"/>
    <n v="42"/>
  </r>
  <r>
    <s v="C079"/>
    <d v="2025-11-21T00:00:00"/>
    <x v="1"/>
    <x v="3"/>
    <s v="Tennis Racket"/>
    <n v="412.34"/>
    <x v="0"/>
    <n v="1"/>
    <n v="3"/>
    <s v="Repeat"/>
    <n v="42"/>
  </r>
  <r>
    <s v="C126"/>
    <d v="2025-10-14T00:00:00"/>
    <x v="4"/>
    <x v="2"/>
    <s v="Laptop"/>
    <n v="86.35"/>
    <x v="1"/>
    <n v="1"/>
    <n v="2"/>
    <s v="Repeat"/>
    <n v="37"/>
  </r>
  <r>
    <s v="C114"/>
    <d v="2025-07-14T00:00:00"/>
    <x v="12"/>
    <x v="2"/>
    <s v="Headphones"/>
    <n v="450.74"/>
    <x v="5"/>
    <n v="1"/>
    <n v="4"/>
    <s v="Repeat"/>
    <n v="32"/>
  </r>
  <r>
    <s v="C142"/>
    <d v="2025-08-21T00:00:00"/>
    <x v="5"/>
    <x v="1"/>
    <s v="Jacket"/>
    <n v="298.17"/>
    <x v="6"/>
    <n v="1"/>
    <n v="6"/>
    <s v="Repeat"/>
    <n v="19"/>
  </r>
  <r>
    <s v="C053"/>
    <d v="2025-12-18T00:00:00"/>
    <x v="7"/>
    <x v="0"/>
    <s v="Lotion"/>
    <n v="265.3"/>
    <x v="6"/>
    <n v="1"/>
    <n v="3"/>
    <s v="Repeat"/>
    <n v="42"/>
  </r>
  <r>
    <s v="C134"/>
    <d v="2025-05-08T00:00:00"/>
    <x v="2"/>
    <x v="1"/>
    <s v="Jeans"/>
    <n v="385.86"/>
    <x v="3"/>
    <n v="1"/>
    <n v="6"/>
    <s v="Repeat"/>
    <n v="19"/>
  </r>
  <r>
    <s v="C069"/>
    <d v="2025-12-03T00:00:00"/>
    <x v="7"/>
    <x v="0"/>
    <s v="Perfume"/>
    <n v="349.05"/>
    <x v="6"/>
    <n v="1"/>
    <n v="7"/>
    <s v="Repeat"/>
    <n v="4"/>
  </r>
  <r>
    <s v="C091"/>
    <d v="2025-09-18T00:00:00"/>
    <x v="11"/>
    <x v="0"/>
    <s v="Lipstick"/>
    <n v="203.76"/>
    <x v="6"/>
    <n v="1"/>
    <n v="5"/>
    <s v="Repeat"/>
    <n v="34"/>
  </r>
  <r>
    <s v="C195"/>
    <d v="2025-11-24T00:00:00"/>
    <x v="1"/>
    <x v="4"/>
    <s v="Microwave"/>
    <n v="251.5"/>
    <x v="6"/>
    <n v="1"/>
    <n v="5"/>
    <s v="Repeat"/>
    <n v="34"/>
  </r>
  <r>
    <s v="C031"/>
    <d v="2025-05-26T00:00:00"/>
    <x v="2"/>
    <x v="2"/>
    <s v="Smartphone"/>
    <n v="191.68"/>
    <x v="2"/>
    <n v="1"/>
    <n v="5"/>
    <s v="Repeat"/>
    <n v="34"/>
  </r>
  <r>
    <s v="C150"/>
    <d v="2025-08-13T00:00:00"/>
    <x v="5"/>
    <x v="3"/>
    <s v="Yoga Mat"/>
    <n v="234.57"/>
    <x v="3"/>
    <n v="1"/>
    <n v="3"/>
    <s v="Repeat"/>
    <n v="42"/>
  </r>
  <r>
    <s v="C118"/>
    <d v="2025-11-01T00:00:00"/>
    <x v="1"/>
    <x v="4"/>
    <s v="Microwave"/>
    <n v="202.75"/>
    <x v="0"/>
    <n v="1"/>
    <n v="5"/>
    <s v="Repeat"/>
    <n v="34"/>
  </r>
  <r>
    <s v="C164"/>
    <d v="2025-07-20T00:00:00"/>
    <x v="12"/>
    <x v="3"/>
    <s v="Yoga Mat"/>
    <n v="51.95"/>
    <x v="3"/>
    <n v="1"/>
    <n v="5"/>
    <s v="Repeat"/>
    <n v="34"/>
  </r>
  <r>
    <s v="C160"/>
    <d v="2025-03-21T00:00:00"/>
    <x v="3"/>
    <x v="1"/>
    <s v="T-shirt"/>
    <n v="38.28"/>
    <x v="1"/>
    <n v="1"/>
    <n v="2"/>
    <s v="Repeat"/>
    <n v="37"/>
  </r>
  <r>
    <s v="C181"/>
    <d v="2026-01-03T00:00:00"/>
    <x v="10"/>
    <x v="1"/>
    <s v="Sweater"/>
    <n v="467.36"/>
    <x v="4"/>
    <n v="1"/>
    <n v="3"/>
    <s v="Repeat"/>
    <n v="42"/>
  </r>
  <r>
    <s v="C113"/>
    <d v="2026-01-10T00:00:00"/>
    <x v="10"/>
    <x v="3"/>
    <s v="Tennis Racket"/>
    <n v="440.66"/>
    <x v="5"/>
    <n v="1"/>
    <n v="5"/>
    <s v="Repeat"/>
    <n v="34"/>
  </r>
  <r>
    <s v="C117"/>
    <d v="2026-01-30T00:00:00"/>
    <x v="10"/>
    <x v="1"/>
    <s v="Jacket"/>
    <n v="95.84"/>
    <x v="3"/>
    <n v="1"/>
    <n v="5"/>
    <s v="Repeat"/>
    <n v="34"/>
  </r>
  <r>
    <s v="C114"/>
    <d v="2025-12-24T00:00:00"/>
    <x v="7"/>
    <x v="1"/>
    <s v="Jeans"/>
    <n v="231.69"/>
    <x v="0"/>
    <n v="1"/>
    <n v="4"/>
    <s v="Repeat"/>
    <n v="32"/>
  </r>
  <r>
    <s v="C116"/>
    <d v="2025-06-15T00:00:00"/>
    <x v="9"/>
    <x v="3"/>
    <s v="Soccer Ball"/>
    <n v="20.92"/>
    <x v="3"/>
    <n v="1"/>
    <n v="2"/>
    <s v="Repeat"/>
    <n v="37"/>
  </r>
  <r>
    <s v="C003"/>
    <d v="2025-03-12T00:00:00"/>
    <x v="3"/>
    <x v="3"/>
    <s v="Sneakers"/>
    <n v="342.08"/>
    <x v="0"/>
    <n v="1"/>
    <n v="5"/>
    <s v="Repeat"/>
    <n v="34"/>
  </r>
  <r>
    <s v="C096"/>
    <d v="2025-10-27T00:00:00"/>
    <x v="4"/>
    <x v="2"/>
    <s v="Keyboard"/>
    <n v="412.36"/>
    <x v="0"/>
    <n v="1"/>
    <n v="2"/>
    <s v="New"/>
    <n v="37"/>
  </r>
  <r>
    <s v="C082"/>
    <d v="2025-07-24T00:00:00"/>
    <x v="12"/>
    <x v="1"/>
    <s v="Shoes"/>
    <n v="338.64"/>
    <x v="5"/>
    <n v="1"/>
    <n v="6"/>
    <s v="Repeat"/>
    <n v="19"/>
  </r>
  <r>
    <s v="C155"/>
    <d v="2025-09-24T00:00:00"/>
    <x v="11"/>
    <x v="1"/>
    <s v="Jeans"/>
    <n v="183.08"/>
    <x v="6"/>
    <n v="1"/>
    <n v="3"/>
    <s v="Repeat"/>
    <n v="42"/>
  </r>
  <r>
    <s v="C061"/>
    <d v="2026-02-08T00:00:00"/>
    <x v="0"/>
    <x v="0"/>
    <s v="Foundation"/>
    <n v="227.41"/>
    <x v="5"/>
    <n v="1"/>
    <n v="4"/>
    <s v="Repeat"/>
    <n v="32"/>
  </r>
  <r>
    <s v="C103"/>
    <d v="2025-10-07T00:00:00"/>
    <x v="4"/>
    <x v="4"/>
    <s v="Toaster"/>
    <n v="499.57"/>
    <x v="3"/>
    <n v="1"/>
    <n v="3"/>
    <s v="Repeat"/>
    <n v="42"/>
  </r>
  <r>
    <s v="C156"/>
    <d v="2025-03-17T00:00:00"/>
    <x v="3"/>
    <x v="2"/>
    <s v="Laptop"/>
    <n v="103.68"/>
    <x v="3"/>
    <n v="1"/>
    <n v="3"/>
    <s v="Repeat"/>
    <n v="42"/>
  </r>
  <r>
    <s v="C072"/>
    <d v="2025-09-20T00:00:00"/>
    <x v="11"/>
    <x v="2"/>
    <s v="Mouse"/>
    <n v="453.76"/>
    <x v="0"/>
    <n v="1"/>
    <n v="4"/>
    <s v="Repeat"/>
    <n v="32"/>
  </r>
  <r>
    <s v="C084"/>
    <d v="2025-04-02T00:00:00"/>
    <x v="6"/>
    <x v="4"/>
    <s v="Chair"/>
    <n v="484.75"/>
    <x v="5"/>
    <n v="1"/>
    <n v="5"/>
    <s v="Repeat"/>
    <n v="34"/>
  </r>
  <r>
    <s v="C075"/>
    <d v="2025-07-04T00:00:00"/>
    <x v="12"/>
    <x v="1"/>
    <s v="Sweater"/>
    <n v="444.11"/>
    <x v="1"/>
    <n v="1"/>
    <n v="8"/>
    <s v="Repeat"/>
    <n v="1"/>
  </r>
  <r>
    <s v="C186"/>
    <d v="2025-02-27T00:00:00"/>
    <x v="8"/>
    <x v="1"/>
    <s v="Shoes"/>
    <n v="68.900000000000006"/>
    <x v="3"/>
    <n v="1"/>
    <n v="3"/>
    <s v="Repeat"/>
    <n v="42"/>
  </r>
  <r>
    <s v="C134"/>
    <d v="2025-11-09T00:00:00"/>
    <x v="1"/>
    <x v="0"/>
    <s v="Lipstick"/>
    <n v="317.32"/>
    <x v="0"/>
    <n v="1"/>
    <n v="6"/>
    <s v="Repeat"/>
    <n v="19"/>
  </r>
  <r>
    <s v="C132"/>
    <d v="2025-09-23T00:00:00"/>
    <x v="11"/>
    <x v="4"/>
    <s v="Microwave"/>
    <n v="415.86"/>
    <x v="2"/>
    <n v="1"/>
    <n v="4"/>
    <s v="Repeat"/>
    <n v="32"/>
  </r>
  <r>
    <s v="C057"/>
    <d v="2025-03-29T00:00:00"/>
    <x v="3"/>
    <x v="1"/>
    <s v="T-shirt"/>
    <n v="118.71"/>
    <x v="6"/>
    <n v="1"/>
    <n v="10"/>
    <s v="Repeat"/>
    <n v="1"/>
  </r>
  <r>
    <s v="C018"/>
    <d v="2025-08-21T00:00:00"/>
    <x v="5"/>
    <x v="4"/>
    <s v="Blender"/>
    <n v="248.25"/>
    <x v="4"/>
    <n v="1"/>
    <n v="6"/>
    <s v="Repeat"/>
    <n v="19"/>
  </r>
  <r>
    <s v="C101"/>
    <d v="2026-02-02T00:00:00"/>
    <x v="0"/>
    <x v="1"/>
    <s v="Shoes"/>
    <n v="38.119999999999997"/>
    <x v="6"/>
    <n v="1"/>
    <n v="6"/>
    <s v="Repeat"/>
    <n v="19"/>
  </r>
  <r>
    <s v="C070"/>
    <d v="2025-08-14T00:00:00"/>
    <x v="5"/>
    <x v="3"/>
    <s v="Yoga Mat"/>
    <n v="402.5"/>
    <x v="0"/>
    <n v="1"/>
    <n v="4"/>
    <s v="Repeat"/>
    <n v="32"/>
  </r>
  <r>
    <s v="C159"/>
    <d v="2025-08-06T00:00:00"/>
    <x v="5"/>
    <x v="0"/>
    <s v="Shampoo"/>
    <n v="156.04"/>
    <x v="3"/>
    <n v="1"/>
    <n v="5"/>
    <s v="Repeat"/>
    <n v="34"/>
  </r>
  <r>
    <s v="C008"/>
    <d v="2025-02-27T00:00:00"/>
    <x v="8"/>
    <x v="4"/>
    <s v="Chair"/>
    <n v="426.61"/>
    <x v="6"/>
    <n v="1"/>
    <n v="4"/>
    <s v="Repeat"/>
    <n v="32"/>
  </r>
  <r>
    <s v="C086"/>
    <d v="2025-12-17T00:00:00"/>
    <x v="7"/>
    <x v="4"/>
    <s v="Microwave"/>
    <n v="159.81"/>
    <x v="4"/>
    <n v="1"/>
    <n v="4"/>
    <s v="Repeat"/>
    <n v="32"/>
  </r>
  <r>
    <s v="C061"/>
    <d v="2025-06-10T00:00:00"/>
    <x v="9"/>
    <x v="4"/>
    <s v="Chair"/>
    <n v="254.17"/>
    <x v="2"/>
    <n v="1"/>
    <n v="4"/>
    <s v="Repeat"/>
    <n v="32"/>
  </r>
  <r>
    <s v="C180"/>
    <d v="2025-06-22T00:00:00"/>
    <x v="9"/>
    <x v="0"/>
    <s v="Lotion"/>
    <n v="200.97"/>
    <x v="6"/>
    <n v="1"/>
    <n v="6"/>
    <s v="Repeat"/>
    <n v="19"/>
  </r>
  <r>
    <s v="C040"/>
    <d v="2025-11-21T00:00:00"/>
    <x v="1"/>
    <x v="2"/>
    <s v="Headphones"/>
    <n v="307.49"/>
    <x v="6"/>
    <n v="1"/>
    <n v="4"/>
    <s v="Repeat"/>
    <n v="32"/>
  </r>
  <r>
    <s v="C114"/>
    <d v="2025-08-14T00:00:00"/>
    <x v="5"/>
    <x v="0"/>
    <s v="Lotion"/>
    <n v="238.09"/>
    <x v="5"/>
    <n v="1"/>
    <n v="4"/>
    <s v="Repeat"/>
    <n v="32"/>
  </r>
  <r>
    <s v="C171"/>
    <d v="2025-07-10T00:00:00"/>
    <x v="12"/>
    <x v="0"/>
    <s v="Perfume"/>
    <n v="344.73"/>
    <x v="4"/>
    <n v="1"/>
    <n v="3"/>
    <s v="Repeat"/>
    <n v="42"/>
  </r>
  <r>
    <s v="C037"/>
    <d v="2025-09-21T00:00:00"/>
    <x v="11"/>
    <x v="3"/>
    <s v="Dumbbells"/>
    <n v="114.02"/>
    <x v="6"/>
    <n v="1"/>
    <n v="5"/>
    <s v="Repeat"/>
    <n v="34"/>
  </r>
  <r>
    <s v="C194"/>
    <d v="2025-04-21T00:00:00"/>
    <x v="6"/>
    <x v="3"/>
    <s v="Dumbbells"/>
    <n v="44.6"/>
    <x v="5"/>
    <n v="1"/>
    <n v="7"/>
    <s v="Repeat"/>
    <n v="4"/>
  </r>
  <r>
    <s v="C127"/>
    <d v="2025-07-28T00:00:00"/>
    <x v="12"/>
    <x v="1"/>
    <s v="Jeans"/>
    <n v="21.4"/>
    <x v="5"/>
    <n v="1"/>
    <n v="5"/>
    <s v="Repeat"/>
    <n v="34"/>
  </r>
  <r>
    <s v="C192"/>
    <d v="2025-03-28T00:00:00"/>
    <x v="3"/>
    <x v="2"/>
    <s v="Mouse"/>
    <n v="395.58"/>
    <x v="3"/>
    <n v="1"/>
    <n v="7"/>
    <s v="Repeat"/>
    <n v="4"/>
  </r>
  <r>
    <s v="C057"/>
    <d v="2025-12-26T00:00:00"/>
    <x v="7"/>
    <x v="1"/>
    <s v="Jeans"/>
    <n v="117.53"/>
    <x v="0"/>
    <n v="1"/>
    <n v="10"/>
    <s v="Repeat"/>
    <n v="1"/>
  </r>
  <r>
    <s v="C015"/>
    <d v="2025-06-16T00:00:00"/>
    <x v="9"/>
    <x v="4"/>
    <s v="Blender"/>
    <n v="51.22"/>
    <x v="1"/>
    <n v="1"/>
    <n v="6"/>
    <s v="Repeat"/>
    <n v="19"/>
  </r>
  <r>
    <s v="C128"/>
    <d v="2025-03-19T00:00:00"/>
    <x v="3"/>
    <x v="0"/>
    <s v="Lipstick"/>
    <n v="39.99"/>
    <x v="4"/>
    <n v="1"/>
    <n v="2"/>
    <s v="Repeat"/>
    <n v="37"/>
  </r>
  <r>
    <s v="C065"/>
    <d v="2025-04-13T00:00:00"/>
    <x v="6"/>
    <x v="4"/>
    <s v="Microwave"/>
    <n v="308.27999999999997"/>
    <x v="4"/>
    <n v="1"/>
    <n v="4"/>
    <s v="Repeat"/>
    <n v="32"/>
  </r>
  <r>
    <s v="C167"/>
    <d v="2025-10-16T00:00:00"/>
    <x v="4"/>
    <x v="1"/>
    <s v="Jeans"/>
    <n v="122.29"/>
    <x v="0"/>
    <n v="1"/>
    <n v="3"/>
    <s v="Repeat"/>
    <n v="42"/>
  </r>
  <r>
    <s v="C131"/>
    <d v="2025-04-26T00:00:00"/>
    <x v="6"/>
    <x v="2"/>
    <s v="Mouse"/>
    <n v="190.03"/>
    <x v="6"/>
    <n v="1"/>
    <n v="2"/>
    <s v="Repeat"/>
    <n v="37"/>
  </r>
  <r>
    <s v="C083"/>
    <d v="2025-08-24T00:00:00"/>
    <x v="5"/>
    <x v="0"/>
    <s v="Shampoo"/>
    <n v="233.51"/>
    <x v="3"/>
    <n v="1"/>
    <n v="3"/>
    <s v="Repeat"/>
    <n v="42"/>
  </r>
  <r>
    <s v="C016"/>
    <d v="2025-06-08T00:00:00"/>
    <x v="9"/>
    <x v="1"/>
    <s v="T-shirt"/>
    <n v="78.42"/>
    <x v="3"/>
    <n v="1"/>
    <n v="9"/>
    <s v="Repeat"/>
    <n v="2"/>
  </r>
  <r>
    <s v="C085"/>
    <d v="2025-11-07T00:00:00"/>
    <x v="1"/>
    <x v="3"/>
    <s v="Yoga Mat"/>
    <n v="21.07"/>
    <x v="6"/>
    <n v="1"/>
    <n v="4"/>
    <s v="Repeat"/>
    <n v="32"/>
  </r>
  <r>
    <s v="C033"/>
    <d v="2025-10-19T00:00:00"/>
    <x v="4"/>
    <x v="0"/>
    <s v="Lotion"/>
    <n v="394.29"/>
    <x v="6"/>
    <n v="1"/>
    <n v="5"/>
    <s v="Repeat"/>
    <n v="34"/>
  </r>
  <r>
    <s v="C070"/>
    <d v="2025-08-14T00:00:00"/>
    <x v="5"/>
    <x v="4"/>
    <s v="Chair"/>
    <n v="357.63"/>
    <x v="5"/>
    <n v="1"/>
    <n v="4"/>
    <s v="Repeat"/>
    <n v="32"/>
  </r>
  <r>
    <s v="C064"/>
    <d v="2025-03-02T00:00:00"/>
    <x v="3"/>
    <x v="3"/>
    <s v="Soccer Ball"/>
    <n v="69.98"/>
    <x v="4"/>
    <n v="1"/>
    <n v="4"/>
    <s v="Repeat"/>
    <n v="32"/>
  </r>
  <r>
    <s v="C063"/>
    <d v="2025-11-27T00:00:00"/>
    <x v="1"/>
    <x v="4"/>
    <s v="Blender"/>
    <n v="84.05"/>
    <x v="5"/>
    <n v="1"/>
    <n v="4"/>
    <s v="Repeat"/>
    <n v="32"/>
  </r>
  <r>
    <s v="C034"/>
    <d v="2026-01-12T00:00:00"/>
    <x v="10"/>
    <x v="4"/>
    <s v="Chair"/>
    <n v="93.21"/>
    <x v="3"/>
    <n v="1"/>
    <n v="4"/>
    <s v="Repeat"/>
    <n v="32"/>
  </r>
  <r>
    <s v="C058"/>
    <d v="2025-12-15T00:00:00"/>
    <x v="7"/>
    <x v="3"/>
    <s v="Soccer Ball"/>
    <n v="71.3"/>
    <x v="1"/>
    <n v="1"/>
    <n v="4"/>
    <s v="Repeat"/>
    <n v="32"/>
  </r>
  <r>
    <s v="C111"/>
    <d v="2025-03-18T00:00:00"/>
    <x v="3"/>
    <x v="1"/>
    <s v="Shoes"/>
    <n v="322.27"/>
    <x v="4"/>
    <n v="1"/>
    <n v="6"/>
    <s v="Repeat"/>
    <n v="19"/>
  </r>
  <r>
    <s v="C036"/>
    <d v="2025-05-24T00:00:00"/>
    <x v="2"/>
    <x v="3"/>
    <s v="Soccer Ball"/>
    <n v="255.15"/>
    <x v="0"/>
    <n v="1"/>
    <n v="4"/>
    <s v="Repeat"/>
    <n v="32"/>
  </r>
  <r>
    <s v="C014"/>
    <d v="2025-11-04T00:00:00"/>
    <x v="1"/>
    <x v="0"/>
    <s v="Lotion"/>
    <n v="138.85"/>
    <x v="5"/>
    <n v="1"/>
    <n v="2"/>
    <s v="Repeat"/>
    <n v="37"/>
  </r>
  <r>
    <s v="C175"/>
    <d v="2025-12-06T00:00:00"/>
    <x v="7"/>
    <x v="2"/>
    <s v="Keyboard"/>
    <n v="60.22"/>
    <x v="2"/>
    <n v="1"/>
    <n v="3"/>
    <s v="Repeat"/>
    <n v="42"/>
  </r>
  <r>
    <s v="C073"/>
    <d v="2025-10-29T00:00:00"/>
    <x v="4"/>
    <x v="2"/>
    <s v="Keyboard"/>
    <n v="423.45"/>
    <x v="5"/>
    <n v="1"/>
    <n v="5"/>
    <s v="Repeat"/>
    <n v="34"/>
  </r>
  <r>
    <s v="C103"/>
    <d v="2025-11-15T00:00:00"/>
    <x v="1"/>
    <x v="1"/>
    <s v="Jacket"/>
    <n v="232.77"/>
    <x v="6"/>
    <n v="1"/>
    <n v="3"/>
    <s v="Repeat"/>
    <n v="42"/>
  </r>
  <r>
    <s v="C053"/>
    <d v="2025-06-22T00:00:00"/>
    <x v="9"/>
    <x v="4"/>
    <s v="Chair"/>
    <n v="218.82"/>
    <x v="3"/>
    <n v="1"/>
    <n v="3"/>
    <s v="Repeat"/>
    <n v="42"/>
  </r>
  <r>
    <s v="C192"/>
    <d v="2025-11-05T00:00:00"/>
    <x v="1"/>
    <x v="0"/>
    <s v="Perfume"/>
    <n v="270.98"/>
    <x v="4"/>
    <n v="1"/>
    <n v="7"/>
    <s v="Repeat"/>
    <n v="4"/>
  </r>
  <r>
    <s v="C152"/>
    <d v="2025-11-03T00:00:00"/>
    <x v="1"/>
    <x v="1"/>
    <s v="Jeans"/>
    <n v="456.12"/>
    <x v="1"/>
    <n v="1"/>
    <n v="4"/>
    <s v="Repeat"/>
    <n v="32"/>
  </r>
  <r>
    <s v="C029"/>
    <d v="2026-02-16T00:00:00"/>
    <x v="0"/>
    <x v="3"/>
    <s v="Yoga Mat"/>
    <n v="274.74"/>
    <x v="3"/>
    <n v="1"/>
    <n v="6"/>
    <s v="Repeat"/>
    <n v="19"/>
  </r>
  <r>
    <s v="C054"/>
    <d v="2025-03-26T00:00:00"/>
    <x v="3"/>
    <x v="1"/>
    <s v="Shoes"/>
    <n v="373.19"/>
    <x v="1"/>
    <n v="1"/>
    <n v="3"/>
    <s v="Repeat"/>
    <n v="42"/>
  </r>
  <r>
    <s v="C122"/>
    <d v="2026-01-10T00:00:00"/>
    <x v="10"/>
    <x v="2"/>
    <s v="Keyboard"/>
    <n v="225.81"/>
    <x v="3"/>
    <n v="1"/>
    <n v="5"/>
    <s v="Repeat"/>
    <n v="34"/>
  </r>
  <r>
    <s v="C135"/>
    <d v="2025-06-06T00:00:00"/>
    <x v="9"/>
    <x v="3"/>
    <s v="Sneakers"/>
    <n v="286.98"/>
    <x v="3"/>
    <n v="1"/>
    <n v="2"/>
    <s v="New"/>
    <n v="37"/>
  </r>
  <r>
    <s v="C083"/>
    <d v="2026-02-11T00:00:00"/>
    <x v="0"/>
    <x v="0"/>
    <s v="Lotion"/>
    <n v="307.01"/>
    <x v="0"/>
    <n v="1"/>
    <n v="3"/>
    <s v="Repeat"/>
    <n v="42"/>
  </r>
  <r>
    <s v="C148"/>
    <d v="2025-06-18T00:00:00"/>
    <x v="9"/>
    <x v="0"/>
    <s v="Lipstick"/>
    <n v="390.32"/>
    <x v="5"/>
    <n v="1"/>
    <n v="4"/>
    <s v="Repeat"/>
    <n v="32"/>
  </r>
  <r>
    <s v="C162"/>
    <d v="2025-05-25T00:00:00"/>
    <x v="2"/>
    <x v="4"/>
    <s v="Chair"/>
    <n v="128.94"/>
    <x v="4"/>
    <n v="1"/>
    <n v="4"/>
    <s v="Repeat"/>
    <n v="32"/>
  </r>
  <r>
    <s v="C137"/>
    <d v="2025-09-02T00:00:00"/>
    <x v="11"/>
    <x v="4"/>
    <s v="Microwave"/>
    <n v="445.84"/>
    <x v="0"/>
    <n v="1"/>
    <n v="5"/>
    <s v="Repeat"/>
    <n v="34"/>
  </r>
  <r>
    <s v="C101"/>
    <d v="2025-09-02T00:00:00"/>
    <x v="11"/>
    <x v="1"/>
    <s v="Jacket"/>
    <n v="363.79"/>
    <x v="0"/>
    <n v="1"/>
    <n v="6"/>
    <s v="Repeat"/>
    <n v="19"/>
  </r>
  <r>
    <s v="C052"/>
    <d v="2026-01-06T00:00:00"/>
    <x v="10"/>
    <x v="4"/>
    <s v="Lamp"/>
    <n v="91.18"/>
    <x v="6"/>
    <n v="1"/>
    <n v="2"/>
    <s v="Repeat"/>
    <n v="37"/>
  </r>
  <r>
    <s v="C170"/>
    <d v="2025-08-07T00:00:00"/>
    <x v="5"/>
    <x v="0"/>
    <s v="Foundation"/>
    <n v="459.62"/>
    <x v="3"/>
    <n v="1"/>
    <n v="4"/>
    <s v="Repeat"/>
    <n v="32"/>
  </r>
  <r>
    <s v="C129"/>
    <d v="2025-02-27T00:00:00"/>
    <x v="8"/>
    <x v="4"/>
    <s v="Blender"/>
    <n v="27.65"/>
    <x v="3"/>
    <n v="1"/>
    <n v="3"/>
    <s v="Repeat"/>
    <n v="42"/>
  </r>
  <r>
    <s v="C012"/>
    <d v="2025-03-05T00:00:00"/>
    <x v="3"/>
    <x v="0"/>
    <s v="Perfume"/>
    <n v="70.81"/>
    <x v="0"/>
    <n v="1"/>
    <n v="4"/>
    <s v="Repeat"/>
    <n v="32"/>
  </r>
  <r>
    <s v="C102"/>
    <d v="2025-08-04T00:00:00"/>
    <x v="5"/>
    <x v="4"/>
    <s v="Lamp"/>
    <n v="252.85"/>
    <x v="4"/>
    <n v="1"/>
    <n v="5"/>
    <s v="Repeat"/>
    <n v="34"/>
  </r>
  <r>
    <s v="C119"/>
    <d v="2025-08-10T00:00:00"/>
    <x v="5"/>
    <x v="1"/>
    <s v="Sweater"/>
    <n v="240.17"/>
    <x v="1"/>
    <n v="1"/>
    <n v="6"/>
    <s v="Repeat"/>
    <n v="19"/>
  </r>
  <r>
    <s v="C139"/>
    <d v="2025-09-20T00:00:00"/>
    <x v="11"/>
    <x v="1"/>
    <s v="Sweater"/>
    <n v="347.44"/>
    <x v="1"/>
    <n v="1"/>
    <n v="5"/>
    <s v="Repeat"/>
    <n v="34"/>
  </r>
  <r>
    <s v="C142"/>
    <d v="2025-10-31T00:00:00"/>
    <x v="4"/>
    <x v="3"/>
    <s v="Yoga Mat"/>
    <n v="87.38"/>
    <x v="6"/>
    <n v="1"/>
    <n v="6"/>
    <s v="Repeat"/>
    <n v="19"/>
  </r>
  <r>
    <s v="C096"/>
    <d v="2026-01-21T00:00:00"/>
    <x v="10"/>
    <x v="0"/>
    <s v="Perfume"/>
    <n v="471.14"/>
    <x v="3"/>
    <n v="1"/>
    <n v="2"/>
    <s v="Repeat"/>
    <n v="37"/>
  </r>
  <r>
    <s v="C140"/>
    <d v="2025-03-21T00:00:00"/>
    <x v="3"/>
    <x v="3"/>
    <s v="Soccer Ball"/>
    <n v="292.77999999999997"/>
    <x v="2"/>
    <n v="1"/>
    <n v="5"/>
    <s v="Repeat"/>
    <n v="34"/>
  </r>
  <r>
    <s v="C029"/>
    <d v="2025-12-07T00:00:00"/>
    <x v="7"/>
    <x v="0"/>
    <s v="Lotion"/>
    <n v="275.29000000000002"/>
    <x v="6"/>
    <n v="1"/>
    <n v="6"/>
    <s v="Repeat"/>
    <n v="19"/>
  </r>
  <r>
    <s v="C164"/>
    <d v="2025-05-19T00:00:00"/>
    <x v="2"/>
    <x v="2"/>
    <s v="Smartphone"/>
    <n v="265.14999999999998"/>
    <x v="1"/>
    <n v="1"/>
    <n v="5"/>
    <s v="Repeat"/>
    <n v="34"/>
  </r>
  <r>
    <s v="C057"/>
    <d v="2025-05-14T00:00:00"/>
    <x v="2"/>
    <x v="2"/>
    <s v="Headphones"/>
    <n v="57.23"/>
    <x v="0"/>
    <n v="1"/>
    <n v="10"/>
    <s v="Repeat"/>
    <n v="1"/>
  </r>
  <r>
    <s v="C133"/>
    <d v="2025-10-13T00:00:00"/>
    <x v="4"/>
    <x v="1"/>
    <s v="Jacket"/>
    <n v="409.37"/>
    <x v="3"/>
    <n v="1"/>
    <n v="3"/>
    <s v="Repeat"/>
    <n v="42"/>
  </r>
  <r>
    <s v="C197"/>
    <d v="2026-02-18T00:00:00"/>
    <x v="0"/>
    <x v="4"/>
    <s v="Toaster"/>
    <n v="73.27"/>
    <x v="5"/>
    <n v="1"/>
    <n v="4"/>
    <s v="Repeat"/>
    <n v="32"/>
  </r>
  <r>
    <s v="C112"/>
    <d v="2025-05-02T00:00:00"/>
    <x v="2"/>
    <x v="1"/>
    <s v="Shoes"/>
    <n v="309.62"/>
    <x v="4"/>
    <n v="1"/>
    <n v="6"/>
    <s v="Repeat"/>
    <n v="19"/>
  </r>
  <r>
    <s v="C135"/>
    <d v="2025-10-24T00:00:00"/>
    <x v="4"/>
    <x v="0"/>
    <s v="Perfume"/>
    <n v="38.840000000000003"/>
    <x v="3"/>
    <n v="1"/>
    <n v="2"/>
    <s v="Repeat"/>
    <n v="37"/>
  </r>
  <r>
    <s v="C159"/>
    <d v="2026-01-18T00:00:00"/>
    <x v="10"/>
    <x v="4"/>
    <s v="Toaster"/>
    <n v="176"/>
    <x v="3"/>
    <n v="1"/>
    <n v="5"/>
    <s v="Repeat"/>
    <n v="34"/>
  </r>
  <r>
    <s v="C015"/>
    <d v="2025-06-19T00:00:00"/>
    <x v="9"/>
    <x v="2"/>
    <s v="Smartphone"/>
    <n v="300.38"/>
    <x v="3"/>
    <n v="1"/>
    <n v="6"/>
    <s v="Repeat"/>
    <n v="19"/>
  </r>
  <r>
    <m/>
    <m/>
    <x v="13"/>
    <x v="5"/>
    <m/>
    <m/>
    <x v="7"/>
    <m/>
    <m/>
    <m/>
    <m/>
  </r>
  <r>
    <m/>
    <m/>
    <x v="13"/>
    <x v="5"/>
    <m/>
    <m/>
    <x v="7"/>
    <m/>
    <m/>
    <m/>
    <m/>
  </r>
</pivotCacheRecords>
</file>

<file path=xl/pivotCache/pivotCacheRecords2.xml><?xml version="1.0" encoding="utf-8"?>
<pivotCacheRecords xmlns="http://schemas.openxmlformats.org/spreadsheetml/2006/main" xmlns:r="http://schemas.openxmlformats.org/officeDocument/2006/relationships" count="701">
  <r>
    <s v="C167"/>
    <d v="2026-02-15T00:00:00"/>
    <x v="0"/>
    <x v="0"/>
    <s v="Perfume"/>
    <n v="130.84"/>
    <s v="Houston"/>
    <n v="1"/>
    <n v="3"/>
    <s v="New"/>
  </r>
  <r>
    <s v="C147"/>
    <d v="2025-11-27T00:00:00"/>
    <x v="1"/>
    <x v="1"/>
    <s v="Jeans"/>
    <n v="11.25"/>
    <s v="Houston"/>
    <n v="1"/>
    <n v="2"/>
    <s v="New"/>
  </r>
  <r>
    <s v="C195"/>
    <d v="2025-05-17T00:00:00"/>
    <x v="2"/>
    <x v="1"/>
    <s v="Shoes"/>
    <n v="60.34"/>
    <s v="Seattle"/>
    <n v="1"/>
    <n v="5"/>
    <s v="New"/>
  </r>
  <r>
    <s v="C178"/>
    <d v="2025-03-29T00:00:00"/>
    <x v="3"/>
    <x v="1"/>
    <s v="Jacket"/>
    <n v="455.49"/>
    <s v="Los Angeles"/>
    <n v="0"/>
    <n v="1"/>
    <s v="New"/>
  </r>
  <r>
    <s v="C183"/>
    <d v="2025-10-09T00:00:00"/>
    <x v="4"/>
    <x v="1"/>
    <s v="Shoes"/>
    <n v="199.87"/>
    <s v="Los Angeles"/>
    <n v="1"/>
    <n v="9"/>
    <s v="New"/>
  </r>
  <r>
    <s v="C123"/>
    <d v="2025-10-02T00:00:00"/>
    <x v="4"/>
    <x v="2"/>
    <s v="Keyboard"/>
    <n v="217.11"/>
    <s v="New York"/>
    <n v="1"/>
    <n v="3"/>
    <s v="New"/>
  </r>
  <r>
    <s v="C183"/>
    <d v="2025-10-26T00:00:00"/>
    <x v="4"/>
    <x v="1"/>
    <s v="Jacket"/>
    <n v="49.89"/>
    <s v="New York"/>
    <n v="1"/>
    <n v="9"/>
    <s v="Repeat"/>
  </r>
  <r>
    <s v="C033"/>
    <d v="2025-10-07T00:00:00"/>
    <x v="4"/>
    <x v="0"/>
    <s v="Shampoo"/>
    <n v="225.76"/>
    <s v="Chicago"/>
    <n v="1"/>
    <n v="5"/>
    <s v="New"/>
  </r>
  <r>
    <s v="C172"/>
    <d v="2025-08-04T00:00:00"/>
    <x v="5"/>
    <x v="3"/>
    <s v="Dumbbells"/>
    <n v="332.71"/>
    <s v="Boston"/>
    <n v="0"/>
    <n v="1"/>
    <s v="New"/>
  </r>
  <r>
    <s v="C060"/>
    <d v="2025-04-12T00:00:00"/>
    <x v="6"/>
    <x v="3"/>
    <s v="Tennis Racket"/>
    <n v="88.7"/>
    <s v="Seattle"/>
    <n v="1"/>
    <n v="3"/>
    <s v="New"/>
  </r>
  <r>
    <s v="C107"/>
    <d v="2025-12-29T00:00:00"/>
    <x v="7"/>
    <x v="0"/>
    <s v="Foundation"/>
    <n v="62.24"/>
    <s v="Los Angeles"/>
    <n v="1"/>
    <n v="5"/>
    <s v="New"/>
  </r>
  <r>
    <s v="C008"/>
    <d v="2025-02-23T00:00:00"/>
    <x v="8"/>
    <x v="2"/>
    <s v="Smartphone"/>
    <n v="493.22"/>
    <s v="Houston"/>
    <n v="1"/>
    <n v="4"/>
    <s v="New"/>
  </r>
  <r>
    <s v="C091"/>
    <d v="2026-02-15T00:00:00"/>
    <x v="0"/>
    <x v="2"/>
    <s v="Headphones"/>
    <n v="104.02"/>
    <s v="New York"/>
    <n v="1"/>
    <n v="5"/>
    <s v="New"/>
  </r>
  <r>
    <s v="C070"/>
    <d v="2025-06-25T00:00:00"/>
    <x v="9"/>
    <x v="1"/>
    <s v="Sweater"/>
    <n v="66.290000000000006"/>
    <s v="Chicago"/>
    <n v="1"/>
    <n v="4"/>
    <s v="New"/>
  </r>
  <r>
    <s v="C190"/>
    <d v="2025-08-04T00:00:00"/>
    <x v="5"/>
    <x v="3"/>
    <s v="Dumbbells"/>
    <n v="478.65"/>
    <s v="Seattle"/>
    <n v="0"/>
    <n v="1"/>
    <s v="New"/>
  </r>
  <r>
    <s v="C067"/>
    <d v="2025-05-18T00:00:00"/>
    <x v="2"/>
    <x v="0"/>
    <s v="Foundation"/>
    <n v="326.18"/>
    <s v="Houston"/>
    <n v="1"/>
    <n v="4"/>
    <s v="New"/>
  </r>
  <r>
    <s v="C075"/>
    <d v="2025-03-24T00:00:00"/>
    <x v="3"/>
    <x v="4"/>
    <s v="Chair"/>
    <n v="432.34"/>
    <s v="New York"/>
    <n v="1"/>
    <n v="8"/>
    <s v="New"/>
  </r>
  <r>
    <s v="C047"/>
    <d v="2025-05-02T00:00:00"/>
    <x v="2"/>
    <x v="3"/>
    <s v="Yoga Mat"/>
    <n v="108.15"/>
    <s v="Chicago"/>
    <n v="1"/>
    <n v="3"/>
    <s v="New"/>
  </r>
  <r>
    <s v="C023"/>
    <d v="2025-04-23T00:00:00"/>
    <x v="6"/>
    <x v="2"/>
    <s v="Smartphone"/>
    <n v="267.75"/>
    <s v="Houston"/>
    <n v="1"/>
    <n v="5"/>
    <s v="New"/>
  </r>
  <r>
    <s v="C001"/>
    <d v="2025-08-22T00:00:00"/>
    <x v="5"/>
    <x v="2"/>
    <s v="Keyboard"/>
    <n v="117.93"/>
    <s v="Houston"/>
    <n v="1"/>
    <n v="4"/>
    <s v="New"/>
  </r>
  <r>
    <s v="C182"/>
    <d v="2025-03-24T00:00:00"/>
    <x v="3"/>
    <x v="3"/>
    <s v="Soccer Ball"/>
    <n v="288.33999999999997"/>
    <s v="Boston"/>
    <n v="1"/>
    <n v="3"/>
    <s v="New"/>
  </r>
  <r>
    <s v="C075"/>
    <d v="2025-10-07T00:00:00"/>
    <x v="4"/>
    <x v="0"/>
    <s v="Lipstick"/>
    <n v="146.52000000000001"/>
    <s v="Los Angeles"/>
    <n v="1"/>
    <n v="8"/>
    <s v="Repeat"/>
  </r>
  <r>
    <s v="C100"/>
    <d v="2025-05-12T00:00:00"/>
    <x v="2"/>
    <x v="3"/>
    <s v="Soccer Ball"/>
    <n v="80.819999999999993"/>
    <s v="Los Angeles"/>
    <n v="1"/>
    <n v="2"/>
    <s v="New"/>
  </r>
  <r>
    <s v="C025"/>
    <d v="2025-04-27T00:00:00"/>
    <x v="6"/>
    <x v="1"/>
    <s v="Shoes"/>
    <n v="406.37"/>
    <s v="Boston"/>
    <n v="1"/>
    <n v="6"/>
    <s v="New"/>
  </r>
  <r>
    <s v="C040"/>
    <d v="2026-01-29T00:00:00"/>
    <x v="10"/>
    <x v="2"/>
    <s v="Keyboard"/>
    <n v="410.52"/>
    <s v="Houston"/>
    <n v="1"/>
    <n v="4"/>
    <s v="New"/>
  </r>
  <r>
    <s v="C101"/>
    <d v="2025-10-29T00:00:00"/>
    <x v="4"/>
    <x v="3"/>
    <s v="Soccer Ball"/>
    <n v="87.88"/>
    <s v="New York"/>
    <n v="1"/>
    <n v="6"/>
    <s v="New"/>
  </r>
  <r>
    <s v="C031"/>
    <d v="2025-12-10T00:00:00"/>
    <x v="7"/>
    <x v="1"/>
    <s v="Sweater"/>
    <n v="387.1"/>
    <s v="Los Angeles"/>
    <n v="1"/>
    <n v="5"/>
    <s v="New"/>
  </r>
  <r>
    <s v="C008"/>
    <d v="2025-08-21T00:00:00"/>
    <x v="5"/>
    <x v="1"/>
    <s v="T-shirt"/>
    <n v="467.51"/>
    <s v="New York"/>
    <n v="1"/>
    <n v="4"/>
    <s v="Repeat"/>
  </r>
  <r>
    <s v="C136"/>
    <d v="2025-05-07T00:00:00"/>
    <x v="2"/>
    <x v="0"/>
    <s v="Foundation"/>
    <n v="466.89"/>
    <s v="Seattle"/>
    <n v="1"/>
    <n v="3"/>
    <s v="New"/>
  </r>
  <r>
    <s v="C194"/>
    <d v="2025-03-18T00:00:00"/>
    <x v="3"/>
    <x v="4"/>
    <s v="Toaster"/>
    <n v="351.58"/>
    <s v="Houston"/>
    <n v="1"/>
    <n v="7"/>
    <s v="New"/>
  </r>
  <r>
    <s v="C005"/>
    <d v="2025-09-10T00:00:00"/>
    <x v="11"/>
    <x v="0"/>
    <s v="Lipstick"/>
    <n v="187.71"/>
    <s v="Miami"/>
    <n v="1"/>
    <n v="4"/>
    <s v="New"/>
  </r>
  <r>
    <s v="C069"/>
    <d v="2025-08-11T00:00:00"/>
    <x v="5"/>
    <x v="4"/>
    <s v="Lamp"/>
    <n v="330.98"/>
    <s v="Chicago"/>
    <n v="1"/>
    <n v="7"/>
    <s v="New"/>
  </r>
  <r>
    <s v="C056"/>
    <d v="2025-03-02T00:00:00"/>
    <x v="3"/>
    <x v="2"/>
    <s v="Mouse"/>
    <n v="345.51"/>
    <s v="Seattle"/>
    <n v="1"/>
    <n v="3"/>
    <s v="New"/>
  </r>
  <r>
    <s v="C183"/>
    <d v="2025-03-23T00:00:00"/>
    <x v="3"/>
    <x v="2"/>
    <s v="Smartphone"/>
    <n v="437.67"/>
    <s v="New York"/>
    <n v="1"/>
    <n v="9"/>
    <s v="Repeat"/>
  </r>
  <r>
    <s v="C010"/>
    <d v="2025-10-06T00:00:00"/>
    <x v="4"/>
    <x v="1"/>
    <s v="Jacket"/>
    <n v="116.58"/>
    <s v="Los Angeles"/>
    <n v="1"/>
    <n v="3"/>
    <s v="New"/>
  </r>
  <r>
    <s v="C026"/>
    <d v="2025-07-27T00:00:00"/>
    <x v="12"/>
    <x v="3"/>
    <s v="Dumbbells"/>
    <n v="120.01"/>
    <s v="Chicago"/>
    <n v="1"/>
    <n v="3"/>
    <s v="New"/>
  </r>
  <r>
    <s v="C180"/>
    <d v="2025-09-10T00:00:00"/>
    <x v="11"/>
    <x v="4"/>
    <s v="Toaster"/>
    <n v="55.22"/>
    <s v="Houston"/>
    <n v="1"/>
    <n v="6"/>
    <s v="New"/>
  </r>
  <r>
    <s v="C049"/>
    <d v="2026-02-09T00:00:00"/>
    <x v="0"/>
    <x v="4"/>
    <s v="Chair"/>
    <n v="77.56"/>
    <s v="Boston"/>
    <n v="1"/>
    <n v="4"/>
    <s v="New"/>
  </r>
  <r>
    <s v="C067"/>
    <d v="2025-11-21T00:00:00"/>
    <x v="1"/>
    <x v="2"/>
    <s v="Keyboard"/>
    <n v="426.31"/>
    <s v="Seattle"/>
    <n v="1"/>
    <n v="4"/>
    <s v="Repeat"/>
  </r>
  <r>
    <s v="C089"/>
    <d v="2026-02-01T00:00:00"/>
    <x v="0"/>
    <x v="1"/>
    <s v="Sweater"/>
    <n v="393.11"/>
    <s v="Miami"/>
    <n v="1"/>
    <n v="3"/>
    <s v="New"/>
  </r>
  <r>
    <s v="C018"/>
    <d v="2025-03-25T00:00:00"/>
    <x v="3"/>
    <x v="1"/>
    <s v="Sweater"/>
    <n v="186.77"/>
    <s v="Houston"/>
    <n v="1"/>
    <n v="6"/>
    <s v="New"/>
  </r>
  <r>
    <s v="C057"/>
    <d v="2025-09-14T00:00:00"/>
    <x v="11"/>
    <x v="3"/>
    <s v="Yoga Mat"/>
    <n v="145.19"/>
    <s v="Chicago"/>
    <n v="1"/>
    <n v="10"/>
    <s v="New"/>
  </r>
  <r>
    <s v="C139"/>
    <d v="2025-05-06T00:00:00"/>
    <x v="2"/>
    <x v="3"/>
    <s v="Soccer Ball"/>
    <n v="47.74"/>
    <s v="Houston"/>
    <n v="1"/>
    <n v="5"/>
    <s v="New"/>
  </r>
  <r>
    <s v="C132"/>
    <d v="2025-08-07T00:00:00"/>
    <x v="5"/>
    <x v="2"/>
    <s v="Mouse"/>
    <n v="218.4"/>
    <s v="Houston"/>
    <n v="1"/>
    <n v="4"/>
    <s v="New"/>
  </r>
  <r>
    <s v="C158"/>
    <d v="2025-04-02T00:00:00"/>
    <x v="6"/>
    <x v="0"/>
    <s v="Lipstick"/>
    <n v="342.03"/>
    <s v="Boston"/>
    <n v="1"/>
    <n v="5"/>
    <s v="New"/>
  </r>
  <r>
    <s v="C171"/>
    <d v="2026-01-04T00:00:00"/>
    <x v="10"/>
    <x v="2"/>
    <s v="Smartphone"/>
    <n v="199.54"/>
    <s v="Boston"/>
    <n v="1"/>
    <n v="3"/>
    <s v="New"/>
  </r>
  <r>
    <s v="C199"/>
    <d v="2025-09-29T00:00:00"/>
    <x v="11"/>
    <x v="2"/>
    <s v="Laptop"/>
    <n v="466.63"/>
    <s v="Houston"/>
    <n v="1"/>
    <n v="7"/>
    <s v="New"/>
  </r>
  <r>
    <s v="C106"/>
    <d v="2025-09-29T00:00:00"/>
    <x v="11"/>
    <x v="0"/>
    <s v="Perfume"/>
    <n v="278.2"/>
    <s v="Chicago"/>
    <n v="1"/>
    <n v="5"/>
    <s v="New"/>
  </r>
  <r>
    <s v="C185"/>
    <d v="2026-01-21T00:00:00"/>
    <x v="10"/>
    <x v="2"/>
    <s v="Keyboard"/>
    <n v="397.06"/>
    <s v="Seattle"/>
    <n v="1"/>
    <n v="2"/>
    <s v="New"/>
  </r>
  <r>
    <s v="C159"/>
    <d v="2025-09-01T00:00:00"/>
    <x v="11"/>
    <x v="2"/>
    <s v="Laptop"/>
    <n v="70.94"/>
    <s v="Chicago"/>
    <n v="1"/>
    <n v="5"/>
    <s v="New"/>
  </r>
  <r>
    <s v="C060"/>
    <d v="2026-02-21T00:00:00"/>
    <x v="0"/>
    <x v="2"/>
    <s v="Smartphone"/>
    <n v="71.709999999999994"/>
    <s v="New York"/>
    <n v="1"/>
    <n v="3"/>
    <s v="Repeat"/>
  </r>
  <r>
    <s v="C166"/>
    <d v="2025-04-08T00:00:00"/>
    <x v="6"/>
    <x v="3"/>
    <s v="Yoga Mat"/>
    <n v="355.51"/>
    <s v="Miami"/>
    <n v="0"/>
    <n v="1"/>
    <s v="New"/>
  </r>
  <r>
    <s v="C043"/>
    <d v="2025-12-25T00:00:00"/>
    <x v="7"/>
    <x v="2"/>
    <s v="Smartphone"/>
    <n v="222.49"/>
    <s v="Boston"/>
    <n v="1"/>
    <n v="6"/>
    <s v="New"/>
  </r>
  <r>
    <s v="C183"/>
    <d v="2026-01-23T00:00:00"/>
    <x v="10"/>
    <x v="3"/>
    <s v="Sneakers"/>
    <n v="427.64"/>
    <s v="Chicago"/>
    <n v="1"/>
    <n v="9"/>
    <s v="Repeat"/>
  </r>
  <r>
    <s v="C141"/>
    <d v="2025-03-27T00:00:00"/>
    <x v="3"/>
    <x v="2"/>
    <s v="Headphones"/>
    <n v="171.76"/>
    <s v="Boston"/>
    <n v="1"/>
    <n v="2"/>
    <s v="New"/>
  </r>
  <r>
    <s v="C161"/>
    <d v="2025-09-03T00:00:00"/>
    <x v="11"/>
    <x v="0"/>
    <s v="Lotion"/>
    <n v="354.04"/>
    <s v="Los Angeles"/>
    <n v="1"/>
    <n v="5"/>
    <s v="New"/>
  </r>
  <r>
    <s v="C057"/>
    <d v="2025-06-23T00:00:00"/>
    <x v="9"/>
    <x v="1"/>
    <s v="Sweater"/>
    <n v="239.36"/>
    <s v="Seattle"/>
    <n v="1"/>
    <n v="10"/>
    <s v="Repeat"/>
  </r>
  <r>
    <s v="C122"/>
    <d v="2025-12-17T00:00:00"/>
    <x v="7"/>
    <x v="2"/>
    <s v="Smartphone"/>
    <n v="215.77"/>
    <s v="New York"/>
    <n v="1"/>
    <n v="5"/>
    <s v="New"/>
  </r>
  <r>
    <s v="C010"/>
    <d v="2026-02-21T00:00:00"/>
    <x v="0"/>
    <x v="3"/>
    <s v="Tennis Racket"/>
    <n v="330.4"/>
    <s v="New York"/>
    <n v="1"/>
    <n v="3"/>
    <s v="Repeat"/>
  </r>
  <r>
    <s v="C107"/>
    <d v="2026-02-18T00:00:00"/>
    <x v="0"/>
    <x v="1"/>
    <s v="Jacket"/>
    <n v="386.13"/>
    <s v="Boston"/>
    <n v="1"/>
    <n v="5"/>
    <s v="Repeat"/>
  </r>
  <r>
    <s v="C195"/>
    <d v="2025-12-06T00:00:00"/>
    <x v="7"/>
    <x v="3"/>
    <s v="Tennis Racket"/>
    <n v="333.88"/>
    <s v="Boston"/>
    <n v="1"/>
    <n v="5"/>
    <s v="Repeat"/>
  </r>
  <r>
    <s v="C170"/>
    <d v="2025-04-28T00:00:00"/>
    <x v="6"/>
    <x v="0"/>
    <s v="Foundation"/>
    <n v="139.87"/>
    <s v="New York"/>
    <n v="1"/>
    <n v="4"/>
    <s v="New"/>
  </r>
  <r>
    <s v="C179"/>
    <d v="2025-09-14T00:00:00"/>
    <x v="11"/>
    <x v="2"/>
    <s v="Laptop"/>
    <n v="247.72"/>
    <s v="Houston"/>
    <n v="1"/>
    <n v="3"/>
    <s v="New"/>
  </r>
  <r>
    <s v="C112"/>
    <d v="2025-08-19T00:00:00"/>
    <x v="5"/>
    <x v="4"/>
    <s v="Blender"/>
    <n v="27.36"/>
    <s v="Houston"/>
    <n v="1"/>
    <n v="6"/>
    <s v="New"/>
  </r>
  <r>
    <s v="C143"/>
    <d v="2025-12-20T00:00:00"/>
    <x v="7"/>
    <x v="3"/>
    <s v="Tennis Racket"/>
    <n v="84.45"/>
    <s v="New York"/>
    <n v="1"/>
    <n v="5"/>
    <s v="New"/>
  </r>
  <r>
    <s v="C074"/>
    <d v="2025-06-10T00:00:00"/>
    <x v="9"/>
    <x v="0"/>
    <s v="Lipstick"/>
    <n v="455.78"/>
    <s v="Los Angeles"/>
    <n v="1"/>
    <n v="2"/>
    <s v="New"/>
  </r>
  <r>
    <s v="C041"/>
    <d v="2025-12-11T00:00:00"/>
    <x v="7"/>
    <x v="3"/>
    <s v="Soccer Ball"/>
    <n v="51.83"/>
    <s v="Boston"/>
    <n v="1"/>
    <n v="4"/>
    <s v="New"/>
  </r>
  <r>
    <s v="C158"/>
    <d v="2025-06-02T00:00:00"/>
    <x v="9"/>
    <x v="1"/>
    <s v="Shoes"/>
    <n v="83.13"/>
    <s v="Seattle"/>
    <n v="1"/>
    <n v="5"/>
    <s v="Repeat"/>
  </r>
  <r>
    <s v="C161"/>
    <d v="2025-04-02T00:00:00"/>
    <x v="6"/>
    <x v="4"/>
    <s v="Toaster"/>
    <n v="366.63"/>
    <s v="New York"/>
    <n v="1"/>
    <n v="5"/>
    <s v="Repeat"/>
  </r>
  <r>
    <s v="C117"/>
    <d v="2025-04-02T00:00:00"/>
    <x v="6"/>
    <x v="0"/>
    <s v="Perfume"/>
    <n v="206.96"/>
    <s v="New York"/>
    <n v="1"/>
    <n v="5"/>
    <s v="New"/>
  </r>
  <r>
    <s v="C099"/>
    <d v="2025-04-23T00:00:00"/>
    <x v="6"/>
    <x v="3"/>
    <s v="Soccer Ball"/>
    <n v="410.43"/>
    <s v="Seattle"/>
    <n v="1"/>
    <n v="3"/>
    <s v="New"/>
  </r>
  <r>
    <s v="C009"/>
    <d v="2025-06-14T00:00:00"/>
    <x v="9"/>
    <x v="0"/>
    <s v="Lipstick"/>
    <n v="19.809999999999999"/>
    <s v="New York"/>
    <n v="1"/>
    <n v="2"/>
    <s v="New"/>
  </r>
  <r>
    <s v="C094"/>
    <d v="2025-12-01T00:00:00"/>
    <x v="7"/>
    <x v="3"/>
    <s v="Soccer Ball"/>
    <n v="372.18"/>
    <s v="Seattle"/>
    <n v="1"/>
    <n v="4"/>
    <s v="New"/>
  </r>
  <r>
    <s v="C043"/>
    <d v="2025-04-12T00:00:00"/>
    <x v="6"/>
    <x v="1"/>
    <s v="T-shirt"/>
    <n v="182.25"/>
    <s v="Miami"/>
    <n v="1"/>
    <n v="6"/>
    <s v="Repeat"/>
  </r>
  <r>
    <s v="C033"/>
    <d v="2025-07-25T00:00:00"/>
    <x v="12"/>
    <x v="2"/>
    <s v="Laptop"/>
    <n v="394.2"/>
    <s v="Miami"/>
    <n v="1"/>
    <n v="5"/>
    <s v="Repeat"/>
  </r>
  <r>
    <s v="C116"/>
    <d v="2025-09-07T00:00:00"/>
    <x v="11"/>
    <x v="1"/>
    <s v="Sweater"/>
    <n v="336.64"/>
    <s v="Boston"/>
    <n v="1"/>
    <n v="2"/>
    <s v="New"/>
  </r>
  <r>
    <s v="C109"/>
    <d v="2025-06-09T00:00:00"/>
    <x v="9"/>
    <x v="2"/>
    <s v="Laptop"/>
    <n v="166.19"/>
    <s v="Houston"/>
    <n v="1"/>
    <n v="4"/>
    <s v="New"/>
  </r>
  <r>
    <s v="C048"/>
    <d v="2026-01-19T00:00:00"/>
    <x v="10"/>
    <x v="0"/>
    <s v="Lipstick"/>
    <n v="272.55"/>
    <s v="Chicago"/>
    <n v="1"/>
    <n v="2"/>
    <s v="New"/>
  </r>
  <r>
    <s v="C182"/>
    <d v="2025-12-02T00:00:00"/>
    <x v="7"/>
    <x v="3"/>
    <s v="Yoga Mat"/>
    <n v="413.14"/>
    <s v="Chicago"/>
    <n v="1"/>
    <n v="3"/>
    <s v="Repeat"/>
  </r>
  <r>
    <s v="C098"/>
    <d v="2025-05-02T00:00:00"/>
    <x v="2"/>
    <x v="3"/>
    <s v="Tennis Racket"/>
    <n v="142.74"/>
    <s v="Seattle"/>
    <n v="1"/>
    <n v="2"/>
    <s v="New"/>
  </r>
  <r>
    <s v="C079"/>
    <d v="2026-01-17T00:00:00"/>
    <x v="10"/>
    <x v="4"/>
    <s v="Lamp"/>
    <n v="176.78"/>
    <s v="Los Angeles"/>
    <n v="1"/>
    <n v="3"/>
    <s v="New"/>
  </r>
  <r>
    <s v="C057"/>
    <d v="2026-01-13T00:00:00"/>
    <x v="10"/>
    <x v="2"/>
    <s v="Laptop"/>
    <n v="229.67"/>
    <s v="Miami"/>
    <n v="1"/>
    <n v="10"/>
    <s v="Repeat"/>
  </r>
  <r>
    <s v="C042"/>
    <d v="2025-08-27T00:00:00"/>
    <x v="5"/>
    <x v="2"/>
    <s v="Laptop"/>
    <n v="61.18"/>
    <s v="Los Angeles"/>
    <n v="1"/>
    <n v="3"/>
    <s v="New"/>
  </r>
  <r>
    <s v="C081"/>
    <d v="2025-09-27T00:00:00"/>
    <x v="11"/>
    <x v="1"/>
    <s v="Jacket"/>
    <n v="203.03"/>
    <s v="Boston"/>
    <n v="1"/>
    <n v="4"/>
    <s v="New"/>
  </r>
  <r>
    <s v="C199"/>
    <d v="2025-03-12T00:00:00"/>
    <x v="3"/>
    <x v="3"/>
    <s v="Tennis Racket"/>
    <n v="119.44"/>
    <s v="Chicago"/>
    <n v="1"/>
    <n v="7"/>
    <s v="Repeat"/>
  </r>
  <r>
    <s v="C192"/>
    <d v="2025-07-29T00:00:00"/>
    <x v="12"/>
    <x v="1"/>
    <s v="Jacket"/>
    <n v="150.44"/>
    <s v="Houston"/>
    <n v="1"/>
    <n v="7"/>
    <s v="New"/>
  </r>
  <r>
    <s v="C024"/>
    <d v="2025-08-12T00:00:00"/>
    <x v="5"/>
    <x v="2"/>
    <s v="Smartphone"/>
    <n v="494.26"/>
    <s v="Miami"/>
    <n v="1"/>
    <n v="3"/>
    <s v="New"/>
  </r>
  <r>
    <s v="C192"/>
    <d v="2025-11-30T00:00:00"/>
    <x v="1"/>
    <x v="4"/>
    <s v="Toaster"/>
    <n v="217.16"/>
    <s v="Los Angeles"/>
    <n v="1"/>
    <n v="7"/>
    <s v="Repeat"/>
  </r>
  <r>
    <s v="C092"/>
    <d v="2025-10-22T00:00:00"/>
    <x v="4"/>
    <x v="1"/>
    <s v="Jacket"/>
    <n v="468.53"/>
    <s v="Seattle"/>
    <n v="1"/>
    <n v="5"/>
    <s v="New"/>
  </r>
  <r>
    <s v="C019"/>
    <d v="2025-10-30T00:00:00"/>
    <x v="4"/>
    <x v="0"/>
    <s v="Lotion"/>
    <n v="110.73"/>
    <s v="Miami"/>
    <n v="1"/>
    <n v="6"/>
    <s v="New"/>
  </r>
  <r>
    <s v="C037"/>
    <d v="2025-02-26T00:00:00"/>
    <x v="8"/>
    <x v="3"/>
    <s v="Sneakers"/>
    <n v="101.45"/>
    <s v="Houston"/>
    <n v="1"/>
    <n v="5"/>
    <s v="New"/>
  </r>
  <r>
    <s v="C169"/>
    <d v="2025-04-07T00:00:00"/>
    <x v="6"/>
    <x v="2"/>
    <s v="Mouse"/>
    <n v="122.61"/>
    <s v="Seattle"/>
    <n v="1"/>
    <n v="5"/>
    <s v="New"/>
  </r>
  <r>
    <s v="C194"/>
    <d v="2025-03-15T00:00:00"/>
    <x v="3"/>
    <x v="3"/>
    <s v="Soccer Ball"/>
    <n v="198.81"/>
    <s v="Chicago"/>
    <n v="1"/>
    <n v="7"/>
    <s v="Repeat"/>
  </r>
  <r>
    <s v="C078"/>
    <d v="2025-07-05T00:00:00"/>
    <x v="12"/>
    <x v="3"/>
    <s v="Tennis Racket"/>
    <n v="350.08"/>
    <s v="Los Angeles"/>
    <n v="1"/>
    <n v="5"/>
    <s v="New"/>
  </r>
  <r>
    <s v="C036"/>
    <d v="2025-09-09T00:00:00"/>
    <x v="11"/>
    <x v="2"/>
    <s v="Headphones"/>
    <n v="170.16"/>
    <s v="New York"/>
    <n v="1"/>
    <n v="4"/>
    <s v="New"/>
  </r>
  <r>
    <s v="C163"/>
    <d v="2025-03-17T00:00:00"/>
    <x v="3"/>
    <x v="0"/>
    <s v="Lipstick"/>
    <n v="94.81"/>
    <s v="Houston"/>
    <n v="0"/>
    <n v="1"/>
    <s v="New"/>
  </r>
  <r>
    <s v="C101"/>
    <d v="2025-05-27T00:00:00"/>
    <x v="2"/>
    <x v="3"/>
    <s v="Yoga Mat"/>
    <n v="398.3"/>
    <s v="Boston"/>
    <n v="1"/>
    <n v="6"/>
    <s v="Repeat"/>
  </r>
  <r>
    <s v="C084"/>
    <d v="2025-12-12T00:00:00"/>
    <x v="7"/>
    <x v="0"/>
    <s v="Perfume"/>
    <n v="468.62"/>
    <s v="Los Angeles"/>
    <n v="1"/>
    <n v="5"/>
    <s v="New"/>
  </r>
  <r>
    <s v="C161"/>
    <d v="2025-08-20T00:00:00"/>
    <x v="5"/>
    <x v="4"/>
    <s v="Chair"/>
    <n v="27.69"/>
    <s v="New York"/>
    <n v="1"/>
    <n v="5"/>
    <s v="Repeat"/>
  </r>
  <r>
    <s v="C044"/>
    <d v="2025-11-26T00:00:00"/>
    <x v="1"/>
    <x v="0"/>
    <s v="Shampoo"/>
    <n v="373.87"/>
    <s v="Seattle"/>
    <n v="1"/>
    <n v="3"/>
    <s v="New"/>
  </r>
  <r>
    <s v="C001"/>
    <d v="2025-12-25T00:00:00"/>
    <x v="7"/>
    <x v="0"/>
    <s v="Perfume"/>
    <n v="413.98"/>
    <s v="Miami"/>
    <n v="1"/>
    <n v="4"/>
    <s v="Repeat"/>
  </r>
  <r>
    <s v="C020"/>
    <d v="2025-03-18T00:00:00"/>
    <x v="3"/>
    <x v="2"/>
    <s v="Smartphone"/>
    <n v="340.65"/>
    <s v="Houston"/>
    <n v="1"/>
    <n v="5"/>
    <s v="New"/>
  </r>
  <r>
    <s v="C006"/>
    <d v="2025-09-26T00:00:00"/>
    <x v="11"/>
    <x v="0"/>
    <s v="Shampoo"/>
    <n v="393.06"/>
    <s v="Los Angeles"/>
    <n v="1"/>
    <n v="6"/>
    <s v="New"/>
  </r>
  <r>
    <s v="C113"/>
    <d v="2025-05-12T00:00:00"/>
    <x v="2"/>
    <x v="3"/>
    <s v="Tennis Racket"/>
    <n v="198.62"/>
    <s v="Miami"/>
    <n v="1"/>
    <n v="5"/>
    <s v="New"/>
  </r>
  <r>
    <s v="C187"/>
    <d v="2025-11-09T00:00:00"/>
    <x v="1"/>
    <x v="2"/>
    <s v="Headphones"/>
    <n v="13.02"/>
    <s v="New York"/>
    <n v="1"/>
    <n v="5"/>
    <s v="New"/>
  </r>
  <r>
    <s v="C194"/>
    <d v="2026-01-01T00:00:00"/>
    <x v="10"/>
    <x v="2"/>
    <s v="Headphones"/>
    <n v="65.709999999999994"/>
    <s v="Miami"/>
    <n v="1"/>
    <n v="7"/>
    <s v="Repeat"/>
  </r>
  <r>
    <s v="C056"/>
    <d v="2025-05-14T00:00:00"/>
    <x v="2"/>
    <x v="1"/>
    <s v="Shoes"/>
    <n v="72.489999999999995"/>
    <s v="New York"/>
    <n v="1"/>
    <n v="3"/>
    <s v="Repeat"/>
  </r>
  <r>
    <s v="C099"/>
    <d v="2025-05-15T00:00:00"/>
    <x v="2"/>
    <x v="0"/>
    <s v="Shampoo"/>
    <n v="16.510000000000002"/>
    <s v="Miami"/>
    <n v="1"/>
    <n v="3"/>
    <s v="Repeat"/>
  </r>
  <r>
    <s v="C097"/>
    <d v="2025-06-05T00:00:00"/>
    <x v="9"/>
    <x v="2"/>
    <s v="Mouse"/>
    <n v="468.9"/>
    <s v="Houston"/>
    <n v="1"/>
    <n v="2"/>
    <s v="New"/>
  </r>
  <r>
    <s v="C117"/>
    <d v="2025-07-15T00:00:00"/>
    <x v="12"/>
    <x v="0"/>
    <s v="Perfume"/>
    <n v="492.14"/>
    <s v="Miami"/>
    <n v="1"/>
    <n v="5"/>
    <s v="Repeat"/>
  </r>
  <r>
    <s v="C092"/>
    <d v="2026-01-11T00:00:00"/>
    <x v="10"/>
    <x v="2"/>
    <s v="Laptop"/>
    <n v="57.01"/>
    <s v="Los Angeles"/>
    <n v="1"/>
    <n v="5"/>
    <s v="Repeat"/>
  </r>
  <r>
    <s v="C152"/>
    <d v="2026-02-20T00:00:00"/>
    <x v="0"/>
    <x v="1"/>
    <s v="Shoes"/>
    <n v="451.77"/>
    <s v="New York"/>
    <n v="1"/>
    <n v="4"/>
    <s v="New"/>
  </r>
  <r>
    <s v="C117"/>
    <d v="2025-09-21T00:00:00"/>
    <x v="11"/>
    <x v="4"/>
    <s v="Lamp"/>
    <n v="197.98"/>
    <s v="Miami"/>
    <n v="1"/>
    <n v="5"/>
    <s v="Repeat"/>
  </r>
  <r>
    <s v="C063"/>
    <d v="2026-02-01T00:00:00"/>
    <x v="0"/>
    <x v="0"/>
    <s v="Lipstick"/>
    <n v="450.25"/>
    <s v="Los Angeles"/>
    <n v="1"/>
    <n v="4"/>
    <s v="New"/>
  </r>
  <r>
    <s v="C019"/>
    <d v="2026-01-13T00:00:00"/>
    <x v="10"/>
    <x v="4"/>
    <s v="Blender"/>
    <n v="144.99"/>
    <s v="Seattle"/>
    <n v="1"/>
    <n v="6"/>
    <s v="Repeat"/>
  </r>
  <r>
    <s v="C114"/>
    <d v="2025-04-15T00:00:00"/>
    <x v="6"/>
    <x v="0"/>
    <s v="Lotion"/>
    <n v="123.6"/>
    <s v="Chicago"/>
    <n v="1"/>
    <n v="4"/>
    <s v="New"/>
  </r>
  <r>
    <s v="C171"/>
    <d v="2025-06-08T00:00:00"/>
    <x v="9"/>
    <x v="1"/>
    <s v="Sweater"/>
    <n v="437.47"/>
    <s v="Houston"/>
    <n v="1"/>
    <n v="3"/>
    <s v="Repeat"/>
  </r>
  <r>
    <s v="C158"/>
    <d v="2026-01-05T00:00:00"/>
    <x v="10"/>
    <x v="0"/>
    <s v="Shampoo"/>
    <n v="115"/>
    <s v="Seattle"/>
    <n v="1"/>
    <n v="5"/>
    <s v="Repeat"/>
  </r>
  <r>
    <s v="C085"/>
    <d v="2025-09-03T00:00:00"/>
    <x v="11"/>
    <x v="1"/>
    <s v="Jeans"/>
    <n v="497.78"/>
    <s v="Boston"/>
    <n v="1"/>
    <n v="4"/>
    <s v="New"/>
  </r>
  <r>
    <s v="C046"/>
    <d v="2025-07-26T00:00:00"/>
    <x v="12"/>
    <x v="2"/>
    <s v="Keyboard"/>
    <n v="188.22"/>
    <s v="Boston"/>
    <n v="0"/>
    <n v="1"/>
    <s v="New"/>
  </r>
  <r>
    <s v="C173"/>
    <d v="2026-01-10T00:00:00"/>
    <x v="10"/>
    <x v="0"/>
    <s v="Foundation"/>
    <n v="258.57"/>
    <s v="Miami"/>
    <n v="0"/>
    <n v="1"/>
    <s v="New"/>
  </r>
  <r>
    <s v="C009"/>
    <d v="2025-08-23T00:00:00"/>
    <x v="5"/>
    <x v="1"/>
    <s v="Shoes"/>
    <n v="107.38"/>
    <s v="Chicago"/>
    <n v="1"/>
    <n v="2"/>
    <s v="Repeat"/>
  </r>
  <r>
    <s v="C041"/>
    <d v="2025-06-10T00:00:00"/>
    <x v="9"/>
    <x v="2"/>
    <s v="Headphones"/>
    <n v="141.26"/>
    <s v="Chicago"/>
    <n v="1"/>
    <n v="4"/>
    <s v="Repeat"/>
  </r>
  <r>
    <s v="C120"/>
    <d v="2026-01-15T00:00:00"/>
    <x v="10"/>
    <x v="2"/>
    <s v="Mouse"/>
    <n v="261.98"/>
    <s v="Houston"/>
    <n v="0"/>
    <n v="1"/>
    <s v="New"/>
  </r>
  <r>
    <s v="C130"/>
    <d v="2025-12-30T00:00:00"/>
    <x v="7"/>
    <x v="1"/>
    <s v="Jacket"/>
    <n v="486.37"/>
    <s v="Boston"/>
    <n v="1"/>
    <n v="5"/>
    <s v="New"/>
  </r>
  <r>
    <s v="C044"/>
    <d v="2025-03-21T00:00:00"/>
    <x v="3"/>
    <x v="2"/>
    <s v="Smartphone"/>
    <n v="321.88"/>
    <s v="Seattle"/>
    <n v="1"/>
    <n v="3"/>
    <s v="Repeat"/>
  </r>
  <r>
    <s v="C111"/>
    <d v="2026-02-03T00:00:00"/>
    <x v="0"/>
    <x v="2"/>
    <s v="Headphones"/>
    <n v="58.65"/>
    <s v="Houston"/>
    <n v="1"/>
    <n v="6"/>
    <s v="New"/>
  </r>
  <r>
    <s v="C153"/>
    <d v="2025-10-09T00:00:00"/>
    <x v="4"/>
    <x v="4"/>
    <s v="Chair"/>
    <n v="447.48"/>
    <s v="Seattle"/>
    <n v="1"/>
    <n v="3"/>
    <s v="New"/>
  </r>
  <r>
    <s v="C167"/>
    <d v="2025-06-23T00:00:00"/>
    <x v="9"/>
    <x v="1"/>
    <s v="Shoes"/>
    <n v="97.1"/>
    <s v="Boston"/>
    <n v="1"/>
    <n v="3"/>
    <s v="Repeat"/>
  </r>
  <r>
    <s v="C121"/>
    <d v="2025-11-23T00:00:00"/>
    <x v="1"/>
    <x v="3"/>
    <s v="Dumbbells"/>
    <n v="416.64"/>
    <s v="Los Angeles"/>
    <n v="1"/>
    <n v="4"/>
    <s v="New"/>
  </r>
  <r>
    <s v="C154"/>
    <d v="2025-10-17T00:00:00"/>
    <x v="4"/>
    <x v="1"/>
    <s v="Sweater"/>
    <n v="408.38"/>
    <s v="Boston"/>
    <n v="1"/>
    <n v="3"/>
    <s v="New"/>
  </r>
  <r>
    <s v="C081"/>
    <d v="2025-08-15T00:00:00"/>
    <x v="5"/>
    <x v="1"/>
    <s v="Shoes"/>
    <n v="406.89"/>
    <s v="Miami"/>
    <n v="1"/>
    <n v="4"/>
    <s v="Repeat"/>
  </r>
  <r>
    <s v="C063"/>
    <d v="2025-08-10T00:00:00"/>
    <x v="5"/>
    <x v="1"/>
    <s v="Jeans"/>
    <n v="324.14999999999998"/>
    <s v="Miami"/>
    <n v="1"/>
    <n v="4"/>
    <s v="Repeat"/>
  </r>
  <r>
    <s v="C055"/>
    <d v="2026-01-15T00:00:00"/>
    <x v="10"/>
    <x v="4"/>
    <s v="Microwave"/>
    <n v="465.57"/>
    <s v="Los Angeles"/>
    <n v="1"/>
    <n v="5"/>
    <s v="New"/>
  </r>
  <r>
    <s v="C138"/>
    <d v="2026-02-08T00:00:00"/>
    <x v="0"/>
    <x v="3"/>
    <s v="Tennis Racket"/>
    <n v="448.16"/>
    <s v="Los Angeles"/>
    <n v="1"/>
    <n v="4"/>
    <s v="New"/>
  </r>
  <r>
    <s v="C091"/>
    <d v="2026-01-05T00:00:00"/>
    <x v="10"/>
    <x v="0"/>
    <s v="Lipstick"/>
    <n v="436.06"/>
    <s v="Los Angeles"/>
    <n v="1"/>
    <n v="5"/>
    <s v="Repeat"/>
  </r>
  <r>
    <s v="C184"/>
    <d v="2025-05-28T00:00:00"/>
    <x v="2"/>
    <x v="2"/>
    <s v="Mouse"/>
    <n v="19.55"/>
    <s v="Boston"/>
    <n v="1"/>
    <n v="2"/>
    <s v="New"/>
  </r>
  <r>
    <s v="C082"/>
    <d v="2026-02-05T00:00:00"/>
    <x v="0"/>
    <x v="2"/>
    <s v="Mouse"/>
    <n v="160.74"/>
    <s v="Houston"/>
    <n v="1"/>
    <n v="6"/>
    <s v="New"/>
  </r>
  <r>
    <s v="C006"/>
    <d v="2025-12-24T00:00:00"/>
    <x v="7"/>
    <x v="0"/>
    <s v="Perfume"/>
    <n v="27.41"/>
    <s v="Boston"/>
    <n v="1"/>
    <n v="6"/>
    <s v="Repeat"/>
  </r>
  <r>
    <s v="C183"/>
    <d v="2025-03-05T00:00:00"/>
    <x v="3"/>
    <x v="2"/>
    <s v="Mouse"/>
    <n v="430.66"/>
    <s v="Boston"/>
    <n v="1"/>
    <n v="9"/>
    <s v="Repeat"/>
  </r>
  <r>
    <s v="C036"/>
    <d v="2025-08-20T00:00:00"/>
    <x v="5"/>
    <x v="1"/>
    <s v="T-shirt"/>
    <n v="215.51"/>
    <s v="Seattle"/>
    <n v="1"/>
    <n v="4"/>
    <s v="Repeat"/>
  </r>
  <r>
    <s v="C035"/>
    <d v="2025-10-20T00:00:00"/>
    <x v="4"/>
    <x v="1"/>
    <s v="T-shirt"/>
    <n v="377.18"/>
    <s v="New York"/>
    <n v="1"/>
    <n v="2"/>
    <s v="New"/>
  </r>
  <r>
    <s v="C025"/>
    <d v="2025-04-16T00:00:00"/>
    <x v="6"/>
    <x v="4"/>
    <s v="Lamp"/>
    <n v="411.2"/>
    <s v="Miami"/>
    <n v="1"/>
    <n v="6"/>
    <s v="Repeat"/>
  </r>
  <r>
    <s v="C016"/>
    <d v="2025-04-02T00:00:00"/>
    <x v="6"/>
    <x v="2"/>
    <s v="Headphones"/>
    <n v="137.6"/>
    <s v="New York"/>
    <n v="1"/>
    <n v="9"/>
    <s v="New"/>
  </r>
  <r>
    <s v="C003"/>
    <d v="2025-05-16T00:00:00"/>
    <x v="2"/>
    <x v="0"/>
    <s v="Lipstick"/>
    <n v="167.03"/>
    <s v="Chicago"/>
    <n v="1"/>
    <n v="5"/>
    <s v="New"/>
  </r>
  <r>
    <s v="C010"/>
    <d v="2025-09-17T00:00:00"/>
    <x v="11"/>
    <x v="3"/>
    <s v="Yoga Mat"/>
    <n v="30.14"/>
    <s v="Houston"/>
    <n v="1"/>
    <n v="3"/>
    <s v="Repeat"/>
  </r>
  <r>
    <s v="C198"/>
    <d v="2025-10-28T00:00:00"/>
    <x v="4"/>
    <x v="1"/>
    <s v="Shoes"/>
    <n v="50.87"/>
    <s v="Houston"/>
    <n v="1"/>
    <n v="5"/>
    <s v="New"/>
  </r>
  <r>
    <s v="C077"/>
    <d v="2025-10-30T00:00:00"/>
    <x v="4"/>
    <x v="1"/>
    <s v="Jacket"/>
    <n v="233.44"/>
    <s v="New York"/>
    <n v="1"/>
    <n v="3"/>
    <s v="New"/>
  </r>
  <r>
    <s v="C006"/>
    <d v="2025-12-26T00:00:00"/>
    <x v="7"/>
    <x v="3"/>
    <s v="Sneakers"/>
    <n v="477.06"/>
    <s v="Houston"/>
    <n v="1"/>
    <n v="6"/>
    <s v="Repeat"/>
  </r>
  <r>
    <s v="C143"/>
    <d v="2025-08-31T00:00:00"/>
    <x v="5"/>
    <x v="1"/>
    <s v="Jeans"/>
    <n v="132.33000000000001"/>
    <s v="New York"/>
    <n v="1"/>
    <n v="5"/>
    <s v="Repeat"/>
  </r>
  <r>
    <s v="C183"/>
    <d v="2025-08-07T00:00:00"/>
    <x v="5"/>
    <x v="1"/>
    <s v="Jeans"/>
    <n v="404.55"/>
    <s v="Seattle"/>
    <n v="1"/>
    <n v="9"/>
    <s v="Repeat"/>
  </r>
  <r>
    <s v="C115"/>
    <d v="2025-02-26T00:00:00"/>
    <x v="8"/>
    <x v="2"/>
    <s v="Mouse"/>
    <n v="41.66"/>
    <s v="Houston"/>
    <n v="1"/>
    <n v="2"/>
    <s v="New"/>
  </r>
  <r>
    <s v="C138"/>
    <d v="2025-08-07T00:00:00"/>
    <x v="5"/>
    <x v="4"/>
    <s v="Toaster"/>
    <n v="103.68"/>
    <s v="Boston"/>
    <n v="1"/>
    <n v="4"/>
    <s v="Repeat"/>
  </r>
  <r>
    <s v="C187"/>
    <d v="2025-12-19T00:00:00"/>
    <x v="7"/>
    <x v="2"/>
    <s v="Mouse"/>
    <n v="362.23"/>
    <s v="Miami"/>
    <n v="1"/>
    <n v="5"/>
    <s v="Repeat"/>
  </r>
  <r>
    <s v="C057"/>
    <d v="2026-02-22T00:00:00"/>
    <x v="0"/>
    <x v="1"/>
    <s v="Jacket"/>
    <n v="224.18"/>
    <s v="Boston"/>
    <n v="1"/>
    <n v="10"/>
    <s v="Repeat"/>
  </r>
  <r>
    <s v="C021"/>
    <d v="2025-11-05T00:00:00"/>
    <x v="1"/>
    <x v="2"/>
    <s v="Mouse"/>
    <n v="361.65"/>
    <s v="Houston"/>
    <n v="1"/>
    <n v="2"/>
    <s v="New"/>
  </r>
  <r>
    <s v="C078"/>
    <d v="2025-09-15T00:00:00"/>
    <x v="11"/>
    <x v="4"/>
    <s v="Microwave"/>
    <n v="107.31"/>
    <s v="Seattle"/>
    <n v="1"/>
    <n v="5"/>
    <s v="Repeat"/>
  </r>
  <r>
    <s v="C054"/>
    <d v="2026-01-29T00:00:00"/>
    <x v="10"/>
    <x v="4"/>
    <s v="Toaster"/>
    <n v="483.13"/>
    <s v="Chicago"/>
    <n v="1"/>
    <n v="3"/>
    <s v="New"/>
  </r>
  <r>
    <s v="C043"/>
    <d v="2026-02-05T00:00:00"/>
    <x v="0"/>
    <x v="4"/>
    <s v="Toaster"/>
    <n v="329.7"/>
    <s v="Seattle"/>
    <n v="1"/>
    <n v="6"/>
    <s v="Repeat"/>
  </r>
  <r>
    <s v="C085"/>
    <d v="2025-11-20T00:00:00"/>
    <x v="1"/>
    <x v="3"/>
    <s v="Tennis Racket"/>
    <n v="150.28"/>
    <s v="Miami"/>
    <n v="1"/>
    <n v="4"/>
    <s v="Repeat"/>
  </r>
  <r>
    <s v="C019"/>
    <d v="2025-11-28T00:00:00"/>
    <x v="1"/>
    <x v="1"/>
    <s v="T-shirt"/>
    <n v="205.96"/>
    <s v="Chicago"/>
    <n v="1"/>
    <n v="6"/>
    <s v="Repeat"/>
  </r>
  <r>
    <s v="C026"/>
    <d v="2025-12-30T00:00:00"/>
    <x v="7"/>
    <x v="1"/>
    <s v="T-shirt"/>
    <n v="230.64"/>
    <s v="Chicago"/>
    <n v="1"/>
    <n v="3"/>
    <s v="Repeat"/>
  </r>
  <r>
    <s v="C164"/>
    <d v="2026-01-12T00:00:00"/>
    <x v="10"/>
    <x v="3"/>
    <s v="Tennis Racket"/>
    <n v="484.59"/>
    <s v="Miami"/>
    <n v="1"/>
    <n v="5"/>
    <s v="New"/>
  </r>
  <r>
    <s v="C117"/>
    <d v="2025-06-14T00:00:00"/>
    <x v="9"/>
    <x v="4"/>
    <s v="Chair"/>
    <n v="55.31"/>
    <s v="Houston"/>
    <n v="1"/>
    <n v="5"/>
    <s v="Repeat"/>
  </r>
  <r>
    <s v="C092"/>
    <d v="2026-02-18T00:00:00"/>
    <x v="0"/>
    <x v="1"/>
    <s v="Shoes"/>
    <n v="390.38"/>
    <s v="Chicago"/>
    <n v="1"/>
    <n v="5"/>
    <s v="Repeat"/>
  </r>
  <r>
    <s v="C018"/>
    <d v="2026-01-02T00:00:00"/>
    <x v="10"/>
    <x v="2"/>
    <s v="Headphones"/>
    <n v="135.82"/>
    <s v="Los Angeles"/>
    <n v="1"/>
    <n v="6"/>
    <s v="Repeat"/>
  </r>
  <r>
    <s v="C143"/>
    <d v="2026-01-25T00:00:00"/>
    <x v="10"/>
    <x v="1"/>
    <s v="T-shirt"/>
    <n v="497.42"/>
    <s v="Seattle"/>
    <n v="1"/>
    <n v="5"/>
    <s v="Repeat"/>
  </r>
  <r>
    <s v="C110"/>
    <d v="2025-05-30T00:00:00"/>
    <x v="2"/>
    <x v="2"/>
    <s v="Laptop"/>
    <n v="201.9"/>
    <s v="Chicago"/>
    <n v="1"/>
    <n v="3"/>
    <s v="New"/>
  </r>
  <r>
    <s v="C049"/>
    <d v="2025-10-22T00:00:00"/>
    <x v="4"/>
    <x v="0"/>
    <s v="Foundation"/>
    <n v="51.86"/>
    <s v="New York"/>
    <n v="1"/>
    <n v="4"/>
    <s v="Repeat"/>
  </r>
  <r>
    <s v="C006"/>
    <d v="2025-05-09T00:00:00"/>
    <x v="2"/>
    <x v="4"/>
    <s v="Lamp"/>
    <n v="370.99"/>
    <s v="Boston"/>
    <n v="1"/>
    <n v="6"/>
    <s v="Repeat"/>
  </r>
  <r>
    <s v="C012"/>
    <d v="2025-04-10T00:00:00"/>
    <x v="6"/>
    <x v="3"/>
    <s v="Yoga Mat"/>
    <n v="478.85"/>
    <s v="Los Angeles"/>
    <n v="1"/>
    <n v="4"/>
    <s v="New"/>
  </r>
  <r>
    <s v="C054"/>
    <d v="2025-08-08T00:00:00"/>
    <x v="5"/>
    <x v="4"/>
    <s v="Blender"/>
    <n v="350.15"/>
    <s v="Chicago"/>
    <n v="1"/>
    <n v="3"/>
    <s v="Repeat"/>
  </r>
  <r>
    <s v="C018"/>
    <d v="2025-02-27T00:00:00"/>
    <x v="8"/>
    <x v="3"/>
    <s v="Soccer Ball"/>
    <n v="309.37"/>
    <s v="Houston"/>
    <n v="1"/>
    <n v="6"/>
    <s v="Repeat"/>
  </r>
  <r>
    <s v="C161"/>
    <d v="2025-11-08T00:00:00"/>
    <x v="1"/>
    <x v="0"/>
    <s v="Shampoo"/>
    <n v="236.42"/>
    <s v="New York"/>
    <n v="1"/>
    <n v="5"/>
    <s v="Repeat"/>
  </r>
  <r>
    <s v="C112"/>
    <d v="2025-12-21T00:00:00"/>
    <x v="7"/>
    <x v="2"/>
    <s v="Keyboard"/>
    <n v="424.27"/>
    <s v="Los Angeles"/>
    <n v="1"/>
    <n v="6"/>
    <s v="Repeat"/>
  </r>
  <r>
    <s v="C133"/>
    <d v="2025-12-06T00:00:00"/>
    <x v="7"/>
    <x v="4"/>
    <s v="Microwave"/>
    <n v="243.79"/>
    <s v="Houston"/>
    <n v="1"/>
    <n v="3"/>
    <s v="New"/>
  </r>
  <r>
    <s v="C159"/>
    <d v="2025-06-27T00:00:00"/>
    <x v="9"/>
    <x v="4"/>
    <s v="Microwave"/>
    <n v="382.24"/>
    <s v="Houston"/>
    <n v="1"/>
    <n v="5"/>
    <s v="Repeat"/>
  </r>
  <r>
    <s v="C169"/>
    <d v="2025-09-23T00:00:00"/>
    <x v="11"/>
    <x v="0"/>
    <s v="Lipstick"/>
    <n v="334.49"/>
    <s v="Miami"/>
    <n v="1"/>
    <n v="5"/>
    <s v="Repeat"/>
  </r>
  <r>
    <s v="C134"/>
    <d v="2025-10-29T00:00:00"/>
    <x v="4"/>
    <x v="0"/>
    <s v="Lipstick"/>
    <n v="195.42"/>
    <s v="Miami"/>
    <n v="1"/>
    <n v="6"/>
    <s v="New"/>
  </r>
  <r>
    <s v="C106"/>
    <d v="2025-12-03T00:00:00"/>
    <x v="7"/>
    <x v="2"/>
    <s v="Keyboard"/>
    <n v="124.46"/>
    <s v="Miami"/>
    <n v="1"/>
    <n v="5"/>
    <s v="Repeat"/>
  </r>
  <r>
    <s v="C127"/>
    <d v="2025-08-31T00:00:00"/>
    <x v="5"/>
    <x v="2"/>
    <s v="Mouse"/>
    <n v="411.45"/>
    <s v="Los Angeles"/>
    <n v="1"/>
    <n v="5"/>
    <s v="New"/>
  </r>
  <r>
    <s v="C187"/>
    <d v="2025-03-14T00:00:00"/>
    <x v="3"/>
    <x v="3"/>
    <s v="Sneakers"/>
    <n v="295.19"/>
    <s v="New York"/>
    <n v="1"/>
    <n v="5"/>
    <s v="Repeat"/>
  </r>
  <r>
    <s v="C084"/>
    <d v="2025-09-28T00:00:00"/>
    <x v="11"/>
    <x v="0"/>
    <s v="Foundation"/>
    <n v="345.21"/>
    <s v="Chicago"/>
    <n v="1"/>
    <n v="5"/>
    <s v="Repeat"/>
  </r>
  <r>
    <s v="C197"/>
    <d v="2025-12-30T00:00:00"/>
    <x v="7"/>
    <x v="1"/>
    <s v="T-shirt"/>
    <n v="454.2"/>
    <s v="Seattle"/>
    <n v="1"/>
    <n v="4"/>
    <s v="New"/>
  </r>
  <r>
    <s v="C187"/>
    <d v="2025-06-07T00:00:00"/>
    <x v="9"/>
    <x v="2"/>
    <s v="Laptop"/>
    <n v="248.84"/>
    <s v="Los Angeles"/>
    <n v="1"/>
    <n v="5"/>
    <s v="Repeat"/>
  </r>
  <r>
    <s v="C181"/>
    <d v="2025-11-07T00:00:00"/>
    <x v="1"/>
    <x v="4"/>
    <s v="Toaster"/>
    <n v="465.4"/>
    <s v="Seattle"/>
    <n v="1"/>
    <n v="3"/>
    <s v="New"/>
  </r>
  <r>
    <s v="C089"/>
    <d v="2025-08-30T00:00:00"/>
    <x v="5"/>
    <x v="0"/>
    <s v="Perfume"/>
    <n v="284.29000000000002"/>
    <s v="Seattle"/>
    <n v="1"/>
    <n v="3"/>
    <s v="Repeat"/>
  </r>
  <r>
    <s v="C086"/>
    <d v="2025-11-17T00:00:00"/>
    <x v="1"/>
    <x v="2"/>
    <s v="Headphones"/>
    <n v="471.23"/>
    <s v="Los Angeles"/>
    <n v="1"/>
    <n v="4"/>
    <s v="New"/>
  </r>
  <r>
    <s v="C055"/>
    <d v="2026-01-03T00:00:00"/>
    <x v="10"/>
    <x v="4"/>
    <s v="Toaster"/>
    <n v="266.08999999999997"/>
    <s v="Chicago"/>
    <n v="1"/>
    <n v="5"/>
    <s v="Repeat"/>
  </r>
  <r>
    <s v="C119"/>
    <d v="2025-04-21T00:00:00"/>
    <x v="6"/>
    <x v="1"/>
    <s v="Jeans"/>
    <n v="252.91"/>
    <s v="Los Angeles"/>
    <n v="1"/>
    <n v="6"/>
    <s v="New"/>
  </r>
  <r>
    <s v="C137"/>
    <d v="2025-10-04T00:00:00"/>
    <x v="4"/>
    <x v="3"/>
    <s v="Sneakers"/>
    <n v="174.94"/>
    <s v="Houston"/>
    <n v="1"/>
    <n v="5"/>
    <s v="New"/>
  </r>
  <r>
    <s v="C105"/>
    <d v="2025-12-28T00:00:00"/>
    <x v="7"/>
    <x v="1"/>
    <s v="T-shirt"/>
    <n v="377.61"/>
    <s v="Los Angeles"/>
    <n v="0"/>
    <n v="1"/>
    <s v="New"/>
  </r>
  <r>
    <s v="C072"/>
    <d v="2025-06-19T00:00:00"/>
    <x v="9"/>
    <x v="1"/>
    <s v="Jacket"/>
    <n v="216.75"/>
    <s v="Seattle"/>
    <n v="1"/>
    <n v="4"/>
    <s v="New"/>
  </r>
  <r>
    <s v="C071"/>
    <d v="2026-01-28T00:00:00"/>
    <x v="10"/>
    <x v="2"/>
    <s v="Smartphone"/>
    <n v="200.83"/>
    <s v="Boston"/>
    <n v="1"/>
    <n v="6"/>
    <s v="New"/>
  </r>
  <r>
    <s v="C198"/>
    <d v="2025-11-12T00:00:00"/>
    <x v="1"/>
    <x v="0"/>
    <s v="Perfume"/>
    <n v="21.05"/>
    <s v="Los Angeles"/>
    <n v="1"/>
    <n v="5"/>
    <s v="Repeat"/>
  </r>
  <r>
    <s v="C111"/>
    <d v="2025-05-19T00:00:00"/>
    <x v="2"/>
    <x v="3"/>
    <s v="Tennis Racket"/>
    <n v="321.77999999999997"/>
    <s v="Miami"/>
    <n v="1"/>
    <n v="6"/>
    <s v="Repeat"/>
  </r>
  <r>
    <s v="C154"/>
    <d v="2025-10-20T00:00:00"/>
    <x v="4"/>
    <x v="3"/>
    <s v="Soccer Ball"/>
    <n v="318.88"/>
    <s v="Boston"/>
    <n v="1"/>
    <n v="3"/>
    <s v="Repeat"/>
  </r>
  <r>
    <s v="C080"/>
    <d v="2025-08-16T00:00:00"/>
    <x v="5"/>
    <x v="0"/>
    <s v="Lipstick"/>
    <n v="19.25"/>
    <s v="Seattle"/>
    <n v="1"/>
    <n v="2"/>
    <s v="New"/>
  </r>
  <r>
    <s v="C030"/>
    <d v="2025-04-28T00:00:00"/>
    <x v="6"/>
    <x v="2"/>
    <s v="Smartphone"/>
    <n v="98.58"/>
    <s v="Chicago"/>
    <n v="1"/>
    <n v="3"/>
    <s v="New"/>
  </r>
  <r>
    <s v="C040"/>
    <d v="2025-04-18T00:00:00"/>
    <x v="6"/>
    <x v="1"/>
    <s v="T-shirt"/>
    <n v="300.70999999999998"/>
    <s v="Chicago"/>
    <n v="1"/>
    <n v="4"/>
    <s v="Repeat"/>
  </r>
  <r>
    <s v="C022"/>
    <d v="2026-01-26T00:00:00"/>
    <x v="10"/>
    <x v="2"/>
    <s v="Keyboard"/>
    <n v="330.51"/>
    <s v="Chicago"/>
    <n v="1"/>
    <n v="2"/>
    <s v="New"/>
  </r>
  <r>
    <s v="C041"/>
    <d v="2025-06-21T00:00:00"/>
    <x v="9"/>
    <x v="3"/>
    <s v="Soccer Ball"/>
    <n v="184.13"/>
    <s v="Seattle"/>
    <n v="1"/>
    <n v="4"/>
    <s v="Repeat"/>
  </r>
  <r>
    <s v="C174"/>
    <d v="2025-08-02T00:00:00"/>
    <x v="5"/>
    <x v="3"/>
    <s v="Yoga Mat"/>
    <n v="445.78"/>
    <s v="Boston"/>
    <n v="1"/>
    <n v="3"/>
    <s v="New"/>
  </r>
  <r>
    <s v="C180"/>
    <d v="2025-03-31T00:00:00"/>
    <x v="3"/>
    <x v="0"/>
    <s v="Shampoo"/>
    <n v="252.44"/>
    <s v="Los Angeles"/>
    <n v="1"/>
    <n v="6"/>
    <s v="Repeat"/>
  </r>
  <r>
    <s v="C031"/>
    <d v="2025-05-10T00:00:00"/>
    <x v="2"/>
    <x v="0"/>
    <s v="Lotion"/>
    <n v="175.35"/>
    <s v="Chicago"/>
    <n v="1"/>
    <n v="5"/>
    <s v="Repeat"/>
  </r>
  <r>
    <s v="C162"/>
    <d v="2025-10-28T00:00:00"/>
    <x v="4"/>
    <x v="3"/>
    <s v="Soccer Ball"/>
    <n v="228.2"/>
    <s v="Boston"/>
    <n v="1"/>
    <n v="4"/>
    <s v="New"/>
  </r>
  <r>
    <s v="C124"/>
    <d v="2025-09-18T00:00:00"/>
    <x v="11"/>
    <x v="1"/>
    <s v="Jacket"/>
    <n v="141.91"/>
    <s v="Houston"/>
    <n v="1"/>
    <n v="3"/>
    <s v="New"/>
  </r>
  <r>
    <s v="C017"/>
    <d v="2026-02-09T00:00:00"/>
    <x v="0"/>
    <x v="4"/>
    <s v="Blender"/>
    <n v="360.82"/>
    <s v="New York"/>
    <n v="1"/>
    <n v="6"/>
    <s v="New"/>
  </r>
  <r>
    <s v="C184"/>
    <d v="2025-08-28T00:00:00"/>
    <x v="5"/>
    <x v="0"/>
    <s v="Foundation"/>
    <n v="89.4"/>
    <s v="New York"/>
    <n v="1"/>
    <n v="2"/>
    <s v="Repeat"/>
  </r>
  <r>
    <s v="C062"/>
    <d v="2026-01-24T00:00:00"/>
    <x v="10"/>
    <x v="4"/>
    <s v="Microwave"/>
    <n v="252.27"/>
    <s v="Seattle"/>
    <n v="1"/>
    <n v="3"/>
    <s v="New"/>
  </r>
  <r>
    <s v="C051"/>
    <d v="2025-05-21T00:00:00"/>
    <x v="2"/>
    <x v="1"/>
    <s v="Sweater"/>
    <n v="448.07"/>
    <s v="Seattle"/>
    <n v="1"/>
    <n v="3"/>
    <s v="New"/>
  </r>
  <r>
    <s v="C153"/>
    <d v="2025-02-23T00:00:00"/>
    <x v="8"/>
    <x v="0"/>
    <s v="Lotion"/>
    <n v="383.65"/>
    <s v="Miami"/>
    <n v="1"/>
    <n v="3"/>
    <s v="Repeat"/>
  </r>
  <r>
    <s v="C176"/>
    <d v="2025-12-05T00:00:00"/>
    <x v="7"/>
    <x v="3"/>
    <s v="Tennis Racket"/>
    <n v="182.34"/>
    <s v="Los Angeles"/>
    <n v="0"/>
    <n v="1"/>
    <s v="New"/>
  </r>
  <r>
    <s v="C118"/>
    <d v="2025-09-13T00:00:00"/>
    <x v="11"/>
    <x v="2"/>
    <s v="Laptop"/>
    <n v="233.89"/>
    <s v="Los Angeles"/>
    <n v="1"/>
    <n v="5"/>
    <s v="New"/>
  </r>
  <r>
    <s v="C099"/>
    <d v="2025-04-15T00:00:00"/>
    <x v="6"/>
    <x v="4"/>
    <s v="Lamp"/>
    <n v="287.17"/>
    <s v="Houston"/>
    <n v="1"/>
    <n v="3"/>
    <s v="Repeat"/>
  </r>
  <r>
    <s v="C119"/>
    <d v="2025-11-16T00:00:00"/>
    <x v="1"/>
    <x v="0"/>
    <s v="Lipstick"/>
    <n v="354.61"/>
    <s v="Seattle"/>
    <n v="1"/>
    <n v="6"/>
    <s v="Repeat"/>
  </r>
  <r>
    <s v="C081"/>
    <d v="2025-06-28T00:00:00"/>
    <x v="9"/>
    <x v="2"/>
    <s v="Smartphone"/>
    <n v="77.97"/>
    <s v="Seattle"/>
    <n v="1"/>
    <n v="4"/>
    <s v="Repeat"/>
  </r>
  <r>
    <s v="C157"/>
    <d v="2025-12-06T00:00:00"/>
    <x v="7"/>
    <x v="0"/>
    <s v="Perfume"/>
    <n v="438.72"/>
    <s v="Chicago"/>
    <n v="0"/>
    <n v="1"/>
    <s v="New"/>
  </r>
  <r>
    <s v="C199"/>
    <d v="2025-03-23T00:00:00"/>
    <x v="3"/>
    <x v="2"/>
    <s v="Laptop"/>
    <n v="429.97"/>
    <s v="Los Angeles"/>
    <n v="1"/>
    <n v="7"/>
    <s v="Repeat"/>
  </r>
  <r>
    <s v="C180"/>
    <d v="2025-03-28T00:00:00"/>
    <x v="3"/>
    <x v="0"/>
    <s v="Lotion"/>
    <n v="189.14"/>
    <s v="New York"/>
    <n v="1"/>
    <n v="6"/>
    <s v="Repeat"/>
  </r>
  <r>
    <s v="C111"/>
    <d v="2025-09-07T00:00:00"/>
    <x v="11"/>
    <x v="4"/>
    <s v="Blender"/>
    <n v="159.09"/>
    <s v="Chicago"/>
    <n v="1"/>
    <n v="6"/>
    <s v="Repeat"/>
  </r>
  <r>
    <s v="C002"/>
    <d v="2025-10-24T00:00:00"/>
    <x v="4"/>
    <x v="2"/>
    <s v="Headphones"/>
    <n v="476.7"/>
    <s v="Los Angeles"/>
    <n v="1"/>
    <n v="3"/>
    <s v="New"/>
  </r>
  <r>
    <s v="C015"/>
    <d v="2025-12-05T00:00:00"/>
    <x v="7"/>
    <x v="4"/>
    <s v="Lamp"/>
    <n v="62.25"/>
    <s v="Seattle"/>
    <n v="1"/>
    <n v="6"/>
    <s v="New"/>
  </r>
  <r>
    <s v="C133"/>
    <d v="2025-05-07T00:00:00"/>
    <x v="2"/>
    <x v="0"/>
    <s v="Shampoo"/>
    <n v="261.72000000000003"/>
    <s v="Houston"/>
    <n v="1"/>
    <n v="3"/>
    <s v="Repeat"/>
  </r>
  <r>
    <s v="C017"/>
    <d v="2025-11-08T00:00:00"/>
    <x v="1"/>
    <x v="3"/>
    <s v="Dumbbells"/>
    <n v="107.27"/>
    <s v="Miami"/>
    <n v="1"/>
    <n v="6"/>
    <s v="Repeat"/>
  </r>
  <r>
    <s v="C180"/>
    <d v="2025-09-16T00:00:00"/>
    <x v="11"/>
    <x v="2"/>
    <s v="Laptop"/>
    <n v="237.6"/>
    <s v="New York"/>
    <n v="1"/>
    <n v="6"/>
    <s v="Repeat"/>
  </r>
  <r>
    <s v="C149"/>
    <d v="2026-01-10T00:00:00"/>
    <x v="10"/>
    <x v="3"/>
    <s v="Tennis Racket"/>
    <n v="317.25"/>
    <s v="Chicago"/>
    <n v="0"/>
    <n v="1"/>
    <s v="New"/>
  </r>
  <r>
    <s v="C040"/>
    <d v="2025-10-07T00:00:00"/>
    <x v="4"/>
    <x v="3"/>
    <s v="Yoga Mat"/>
    <n v="416.7"/>
    <s v="Chicago"/>
    <n v="1"/>
    <n v="4"/>
    <s v="Repeat"/>
  </r>
  <r>
    <s v="C020"/>
    <d v="2025-10-07T00:00:00"/>
    <x v="4"/>
    <x v="3"/>
    <s v="Yoga Mat"/>
    <n v="27.12"/>
    <s v="Chicago"/>
    <n v="1"/>
    <n v="5"/>
    <s v="Repeat"/>
  </r>
  <r>
    <s v="C134"/>
    <d v="2025-08-18T00:00:00"/>
    <x v="5"/>
    <x v="2"/>
    <s v="Mouse"/>
    <n v="463.02"/>
    <s v="Houston"/>
    <n v="1"/>
    <n v="6"/>
    <s v="Repeat"/>
  </r>
  <r>
    <s v="C148"/>
    <d v="2025-12-07T00:00:00"/>
    <x v="7"/>
    <x v="3"/>
    <s v="Dumbbells"/>
    <n v="195.5"/>
    <s v="Boston"/>
    <n v="1"/>
    <n v="4"/>
    <s v="New"/>
  </r>
  <r>
    <s v="C061"/>
    <d v="2025-09-13T00:00:00"/>
    <x v="11"/>
    <x v="3"/>
    <s v="Sneakers"/>
    <n v="269.82"/>
    <s v="Chicago"/>
    <n v="1"/>
    <n v="4"/>
    <s v="New"/>
  </r>
  <r>
    <s v="C124"/>
    <d v="2025-10-12T00:00:00"/>
    <x v="4"/>
    <x v="2"/>
    <s v="Mouse"/>
    <n v="319.85000000000002"/>
    <s v="Miami"/>
    <n v="1"/>
    <n v="3"/>
    <s v="Repeat"/>
  </r>
  <r>
    <s v="C112"/>
    <d v="2025-07-19T00:00:00"/>
    <x v="12"/>
    <x v="2"/>
    <s v="Mouse"/>
    <n v="68"/>
    <s v="Chicago"/>
    <n v="1"/>
    <n v="6"/>
    <s v="Repeat"/>
  </r>
  <r>
    <s v="C196"/>
    <d v="2025-05-21T00:00:00"/>
    <x v="2"/>
    <x v="3"/>
    <s v="Dumbbells"/>
    <n v="30.36"/>
    <s v="Seattle"/>
    <n v="1"/>
    <n v="5"/>
    <s v="New"/>
  </r>
  <r>
    <s v="C041"/>
    <d v="2025-10-08T00:00:00"/>
    <x v="4"/>
    <x v="4"/>
    <s v="Chair"/>
    <n v="400.19"/>
    <s v="Los Angeles"/>
    <n v="1"/>
    <n v="4"/>
    <s v="Repeat"/>
  </r>
  <r>
    <s v="C075"/>
    <d v="2025-11-15T00:00:00"/>
    <x v="1"/>
    <x v="0"/>
    <s v="Shampoo"/>
    <n v="208.82"/>
    <s v="Seattle"/>
    <n v="1"/>
    <n v="8"/>
    <s v="Repeat"/>
  </r>
  <r>
    <s v="C051"/>
    <d v="2025-11-24T00:00:00"/>
    <x v="1"/>
    <x v="2"/>
    <s v="Headphones"/>
    <n v="157.69"/>
    <s v="Miami"/>
    <n v="1"/>
    <n v="3"/>
    <s v="Repeat"/>
  </r>
  <r>
    <s v="C119"/>
    <d v="2025-11-16T00:00:00"/>
    <x v="1"/>
    <x v="1"/>
    <s v="Shoes"/>
    <n v="258.88"/>
    <s v="Los Angeles"/>
    <n v="1"/>
    <n v="6"/>
    <s v="Repeat"/>
  </r>
  <r>
    <s v="C089"/>
    <d v="2025-07-02T00:00:00"/>
    <x v="12"/>
    <x v="0"/>
    <s v="Lipstick"/>
    <n v="420.86"/>
    <s v="Los Angeles"/>
    <n v="1"/>
    <n v="3"/>
    <s v="Repeat"/>
  </r>
  <r>
    <s v="C001"/>
    <d v="2025-11-24T00:00:00"/>
    <x v="1"/>
    <x v="0"/>
    <s v="Foundation"/>
    <n v="193.56"/>
    <s v="Seattle"/>
    <n v="1"/>
    <n v="4"/>
    <s v="Repeat"/>
  </r>
  <r>
    <s v="C058"/>
    <d v="2025-12-28T00:00:00"/>
    <x v="7"/>
    <x v="2"/>
    <s v="Mouse"/>
    <n v="128.12"/>
    <s v="Los Angeles"/>
    <n v="1"/>
    <n v="4"/>
    <s v="New"/>
  </r>
  <r>
    <s v="C057"/>
    <d v="2026-01-20T00:00:00"/>
    <x v="10"/>
    <x v="1"/>
    <s v="Sweater"/>
    <n v="187.05"/>
    <s v="Los Angeles"/>
    <n v="1"/>
    <n v="10"/>
    <s v="Repeat"/>
  </r>
  <r>
    <s v="C072"/>
    <d v="2025-10-11T00:00:00"/>
    <x v="4"/>
    <x v="0"/>
    <s v="Shampoo"/>
    <n v="259.45999999999998"/>
    <s v="Houston"/>
    <n v="1"/>
    <n v="4"/>
    <s v="Repeat"/>
  </r>
  <r>
    <s v="C074"/>
    <d v="2025-05-21T00:00:00"/>
    <x v="2"/>
    <x v="1"/>
    <s v="T-shirt"/>
    <n v="404.69"/>
    <s v="Houston"/>
    <n v="1"/>
    <n v="2"/>
    <s v="Repeat"/>
  </r>
  <r>
    <s v="C082"/>
    <d v="2025-12-19T00:00:00"/>
    <x v="7"/>
    <x v="4"/>
    <s v="Blender"/>
    <n v="391.49"/>
    <s v="Seattle"/>
    <n v="1"/>
    <n v="6"/>
    <s v="Repeat"/>
  </r>
  <r>
    <s v="C194"/>
    <d v="2025-06-22T00:00:00"/>
    <x v="9"/>
    <x v="3"/>
    <s v="Sneakers"/>
    <n v="383.44"/>
    <s v="Houston"/>
    <n v="1"/>
    <n v="7"/>
    <s v="Repeat"/>
  </r>
  <r>
    <s v="C031"/>
    <d v="2026-01-18T00:00:00"/>
    <x v="10"/>
    <x v="2"/>
    <s v="Keyboard"/>
    <n v="189.69"/>
    <s v="Houston"/>
    <n v="1"/>
    <n v="5"/>
    <s v="Repeat"/>
  </r>
  <r>
    <s v="C077"/>
    <d v="2025-07-31T00:00:00"/>
    <x v="12"/>
    <x v="2"/>
    <s v="Headphones"/>
    <n v="204.64"/>
    <s v="Seattle"/>
    <n v="1"/>
    <n v="3"/>
    <s v="Repeat"/>
  </r>
  <r>
    <s v="C121"/>
    <d v="2025-08-06T00:00:00"/>
    <x v="5"/>
    <x v="3"/>
    <s v="Yoga Mat"/>
    <n v="185.19"/>
    <s v="Seattle"/>
    <n v="1"/>
    <n v="4"/>
    <s v="Repeat"/>
  </r>
  <r>
    <s v="C103"/>
    <d v="2025-11-25T00:00:00"/>
    <x v="1"/>
    <x v="2"/>
    <s v="Smartphone"/>
    <n v="469.11"/>
    <s v="Houston"/>
    <n v="1"/>
    <n v="3"/>
    <s v="New"/>
  </r>
  <r>
    <s v="C071"/>
    <d v="2025-06-02T00:00:00"/>
    <x v="9"/>
    <x v="4"/>
    <s v="Lamp"/>
    <n v="96.8"/>
    <s v="Chicago"/>
    <n v="1"/>
    <n v="6"/>
    <s v="Repeat"/>
  </r>
  <r>
    <s v="C119"/>
    <d v="2025-09-04T00:00:00"/>
    <x v="11"/>
    <x v="3"/>
    <s v="Soccer Ball"/>
    <n v="440.73"/>
    <s v="Los Angeles"/>
    <n v="1"/>
    <n v="6"/>
    <s v="Repeat"/>
  </r>
  <r>
    <s v="C008"/>
    <d v="2025-04-09T00:00:00"/>
    <x v="6"/>
    <x v="0"/>
    <s v="Perfume"/>
    <n v="274.14"/>
    <s v="Seattle"/>
    <n v="1"/>
    <n v="4"/>
    <s v="Repeat"/>
  </r>
  <r>
    <s v="C143"/>
    <d v="2025-11-03T00:00:00"/>
    <x v="1"/>
    <x v="0"/>
    <s v="Lipstick"/>
    <n v="241.28"/>
    <s v="Miami"/>
    <n v="1"/>
    <n v="5"/>
    <s v="Repeat"/>
  </r>
  <r>
    <s v="C136"/>
    <d v="2025-05-09T00:00:00"/>
    <x v="2"/>
    <x v="4"/>
    <s v="Chair"/>
    <n v="400.87"/>
    <s v="New York"/>
    <n v="1"/>
    <n v="3"/>
    <s v="Repeat"/>
  </r>
  <r>
    <s v="C183"/>
    <d v="2025-08-15T00:00:00"/>
    <x v="5"/>
    <x v="2"/>
    <s v="Headphones"/>
    <n v="355.59"/>
    <s v="Los Angeles"/>
    <n v="1"/>
    <n v="9"/>
    <s v="Repeat"/>
  </r>
  <r>
    <s v="C070"/>
    <d v="2025-02-28T00:00:00"/>
    <x v="8"/>
    <x v="4"/>
    <s v="Blender"/>
    <n v="238.22"/>
    <s v="Boston"/>
    <n v="1"/>
    <n v="4"/>
    <s v="Repeat"/>
  </r>
  <r>
    <s v="C136"/>
    <d v="2025-08-04T00:00:00"/>
    <x v="5"/>
    <x v="2"/>
    <s v="Headphones"/>
    <n v="462.34"/>
    <s v="New York"/>
    <n v="1"/>
    <n v="3"/>
    <s v="Repeat"/>
  </r>
  <r>
    <s v="C165"/>
    <d v="2026-01-22T00:00:00"/>
    <x v="10"/>
    <x v="2"/>
    <s v="Keyboard"/>
    <n v="429.63"/>
    <s v="Chicago"/>
    <n v="1"/>
    <n v="3"/>
    <s v="New"/>
  </r>
  <r>
    <s v="C152"/>
    <d v="2025-10-26T00:00:00"/>
    <x v="4"/>
    <x v="2"/>
    <s v="Headphones"/>
    <n v="129.02000000000001"/>
    <s v="Houston"/>
    <n v="1"/>
    <n v="4"/>
    <s v="Repeat"/>
  </r>
  <r>
    <s v="C102"/>
    <d v="2026-01-31T00:00:00"/>
    <x v="10"/>
    <x v="4"/>
    <s v="Blender"/>
    <n v="76.069999999999993"/>
    <s v="Seattle"/>
    <n v="1"/>
    <n v="5"/>
    <s v="New"/>
  </r>
  <r>
    <s v="C078"/>
    <d v="2025-08-14T00:00:00"/>
    <x v="5"/>
    <x v="1"/>
    <s v="Sweater"/>
    <n v="49.66"/>
    <s v="Chicago"/>
    <n v="1"/>
    <n v="5"/>
    <s v="Repeat"/>
  </r>
  <r>
    <s v="C140"/>
    <d v="2025-08-04T00:00:00"/>
    <x v="5"/>
    <x v="4"/>
    <s v="Chair"/>
    <n v="424.94"/>
    <s v="Boston"/>
    <n v="1"/>
    <n v="5"/>
    <s v="New"/>
  </r>
  <r>
    <s v="C039"/>
    <d v="2026-01-20T00:00:00"/>
    <x v="10"/>
    <x v="1"/>
    <s v="Jeans"/>
    <n v="160.07"/>
    <s v="Houston"/>
    <n v="1"/>
    <n v="2"/>
    <s v="New"/>
  </r>
  <r>
    <s v="C109"/>
    <d v="2025-08-18T00:00:00"/>
    <x v="5"/>
    <x v="1"/>
    <s v="Shoes"/>
    <n v="243.83"/>
    <s v="Houston"/>
    <n v="1"/>
    <n v="4"/>
    <s v="Repeat"/>
  </r>
  <r>
    <s v="C113"/>
    <d v="2025-10-05T00:00:00"/>
    <x v="4"/>
    <x v="3"/>
    <s v="Soccer Ball"/>
    <n v="38.75"/>
    <s v="Houston"/>
    <n v="1"/>
    <n v="5"/>
    <s v="Repeat"/>
  </r>
  <r>
    <s v="C169"/>
    <d v="2025-11-11T00:00:00"/>
    <x v="1"/>
    <x v="4"/>
    <s v="Chair"/>
    <n v="445.09"/>
    <s v="Chicago"/>
    <n v="1"/>
    <n v="5"/>
    <s v="Repeat"/>
  </r>
  <r>
    <s v="C112"/>
    <d v="2025-08-07T00:00:00"/>
    <x v="5"/>
    <x v="2"/>
    <s v="Keyboard"/>
    <n v="417.43"/>
    <s v="Miami"/>
    <n v="1"/>
    <n v="6"/>
    <s v="Repeat"/>
  </r>
  <r>
    <s v="C079"/>
    <d v="2025-03-23T00:00:00"/>
    <x v="3"/>
    <x v="1"/>
    <s v="Sweater"/>
    <n v="141.72999999999999"/>
    <s v="Houston"/>
    <n v="1"/>
    <n v="3"/>
    <s v="Repeat"/>
  </r>
  <r>
    <s v="C130"/>
    <d v="2025-08-08T00:00:00"/>
    <x v="5"/>
    <x v="3"/>
    <s v="Yoga Mat"/>
    <n v="339.32"/>
    <s v="Seattle"/>
    <n v="1"/>
    <n v="5"/>
    <s v="Repeat"/>
  </r>
  <r>
    <s v="C037"/>
    <d v="2026-02-01T00:00:00"/>
    <x v="0"/>
    <x v="4"/>
    <s v="Chair"/>
    <n v="434.12"/>
    <s v="Houston"/>
    <n v="1"/>
    <n v="5"/>
    <s v="Repeat"/>
  </r>
  <r>
    <s v="C143"/>
    <d v="2025-08-22T00:00:00"/>
    <x v="5"/>
    <x v="0"/>
    <s v="Lipstick"/>
    <n v="336.33"/>
    <s v="Seattle"/>
    <n v="1"/>
    <n v="5"/>
    <s v="Repeat"/>
  </r>
  <r>
    <s v="C084"/>
    <d v="2025-11-09T00:00:00"/>
    <x v="1"/>
    <x v="4"/>
    <s v="Lamp"/>
    <n v="40.96"/>
    <s v="Seattle"/>
    <n v="1"/>
    <n v="5"/>
    <s v="Repeat"/>
  </r>
  <r>
    <s v="C075"/>
    <d v="2025-07-15T00:00:00"/>
    <x v="12"/>
    <x v="1"/>
    <s v="Shoes"/>
    <n v="474.4"/>
    <s v="Seattle"/>
    <n v="1"/>
    <n v="8"/>
    <s v="Repeat"/>
  </r>
  <r>
    <s v="C123"/>
    <d v="2025-11-25T00:00:00"/>
    <x v="1"/>
    <x v="0"/>
    <s v="Lotion"/>
    <n v="72.819999999999993"/>
    <s v="Seattle"/>
    <n v="1"/>
    <n v="3"/>
    <s v="Repeat"/>
  </r>
  <r>
    <s v="C199"/>
    <d v="2025-05-18T00:00:00"/>
    <x v="2"/>
    <x v="3"/>
    <s v="Sneakers"/>
    <n v="497.24"/>
    <s v="Boston"/>
    <n v="1"/>
    <n v="7"/>
    <s v="Repeat"/>
  </r>
  <r>
    <s v="C023"/>
    <d v="2025-11-24T00:00:00"/>
    <x v="1"/>
    <x v="0"/>
    <s v="Lipstick"/>
    <n v="293.42"/>
    <s v="Houston"/>
    <n v="1"/>
    <n v="5"/>
    <s v="Repeat"/>
  </r>
  <r>
    <s v="C188"/>
    <d v="2025-05-09T00:00:00"/>
    <x v="2"/>
    <x v="3"/>
    <s v="Soccer Ball"/>
    <n v="253.78"/>
    <s v="Houston"/>
    <n v="1"/>
    <n v="6"/>
    <s v="New"/>
  </r>
  <r>
    <s v="C082"/>
    <d v="2025-06-03T00:00:00"/>
    <x v="9"/>
    <x v="3"/>
    <s v="Tennis Racket"/>
    <n v="274.25"/>
    <s v="New York"/>
    <n v="1"/>
    <n v="6"/>
    <s v="Repeat"/>
  </r>
  <r>
    <s v="C004"/>
    <d v="2025-03-28T00:00:00"/>
    <x v="3"/>
    <x v="4"/>
    <s v="Lamp"/>
    <n v="23.39"/>
    <s v="Houston"/>
    <n v="1"/>
    <n v="2"/>
    <s v="New"/>
  </r>
  <r>
    <s v="C015"/>
    <d v="2026-02-10T00:00:00"/>
    <x v="0"/>
    <x v="4"/>
    <s v="Microwave"/>
    <n v="39.75"/>
    <s v="Chicago"/>
    <n v="1"/>
    <n v="6"/>
    <s v="Repeat"/>
  </r>
  <r>
    <s v="C023"/>
    <d v="2025-10-04T00:00:00"/>
    <x v="4"/>
    <x v="0"/>
    <s v="Foundation"/>
    <n v="379.49"/>
    <s v="Seattle"/>
    <n v="1"/>
    <n v="5"/>
    <s v="Repeat"/>
  </r>
  <r>
    <s v="C092"/>
    <d v="2025-12-12T00:00:00"/>
    <x v="7"/>
    <x v="2"/>
    <s v="Keyboard"/>
    <n v="340.15"/>
    <s v="Los Angeles"/>
    <n v="1"/>
    <n v="5"/>
    <s v="Repeat"/>
  </r>
  <r>
    <s v="C118"/>
    <d v="2026-02-04T00:00:00"/>
    <x v="0"/>
    <x v="1"/>
    <s v="Jacket"/>
    <n v="175.21"/>
    <s v="Chicago"/>
    <n v="1"/>
    <n v="5"/>
    <s v="Repeat"/>
  </r>
  <r>
    <s v="C057"/>
    <d v="2025-06-04T00:00:00"/>
    <x v="9"/>
    <x v="0"/>
    <s v="Shampoo"/>
    <n v="274.20999999999998"/>
    <s v="Seattle"/>
    <n v="1"/>
    <n v="10"/>
    <s v="Repeat"/>
  </r>
  <r>
    <s v="C073"/>
    <d v="2025-04-11T00:00:00"/>
    <x v="6"/>
    <x v="2"/>
    <s v="Mouse"/>
    <n v="342.41"/>
    <s v="Los Angeles"/>
    <n v="1"/>
    <n v="5"/>
    <s v="New"/>
  </r>
  <r>
    <s v="C076"/>
    <d v="2025-07-21T00:00:00"/>
    <x v="12"/>
    <x v="2"/>
    <s v="Keyboard"/>
    <n v="487.92"/>
    <s v="New York"/>
    <n v="1"/>
    <n v="6"/>
    <s v="New"/>
  </r>
  <r>
    <s v="C064"/>
    <d v="2025-11-09T00:00:00"/>
    <x v="1"/>
    <x v="0"/>
    <s v="Perfume"/>
    <n v="177.35"/>
    <s v="Boston"/>
    <n v="1"/>
    <n v="4"/>
    <s v="New"/>
  </r>
  <r>
    <s v="C183"/>
    <d v="2025-07-21T00:00:00"/>
    <x v="12"/>
    <x v="2"/>
    <s v="Laptop"/>
    <n v="448.74"/>
    <s v="Los Angeles"/>
    <n v="1"/>
    <n v="9"/>
    <s v="Repeat"/>
  </r>
  <r>
    <s v="C124"/>
    <d v="2025-09-06T00:00:00"/>
    <x v="11"/>
    <x v="3"/>
    <s v="Yoga Mat"/>
    <n v="393.62"/>
    <s v="Los Angeles"/>
    <n v="1"/>
    <n v="3"/>
    <s v="Repeat"/>
  </r>
  <r>
    <s v="C069"/>
    <d v="2025-05-17T00:00:00"/>
    <x v="2"/>
    <x v="0"/>
    <s v="Foundation"/>
    <n v="161.91"/>
    <s v="Miami"/>
    <n v="1"/>
    <n v="7"/>
    <s v="Repeat"/>
  </r>
  <r>
    <s v="C051"/>
    <d v="2025-04-05T00:00:00"/>
    <x v="6"/>
    <x v="2"/>
    <s v="Mouse"/>
    <n v="91.74"/>
    <s v="Houston"/>
    <n v="1"/>
    <n v="3"/>
    <s v="Repeat"/>
  </r>
  <r>
    <s v="C142"/>
    <d v="2025-09-14T00:00:00"/>
    <x v="11"/>
    <x v="2"/>
    <s v="Keyboard"/>
    <n v="328.59"/>
    <s v="New York"/>
    <n v="1"/>
    <n v="6"/>
    <s v="New"/>
  </r>
  <r>
    <s v="C025"/>
    <d v="2025-10-05T00:00:00"/>
    <x v="4"/>
    <x v="1"/>
    <s v="T-shirt"/>
    <n v="286"/>
    <s v="Miami"/>
    <n v="1"/>
    <n v="6"/>
    <s v="Repeat"/>
  </r>
  <r>
    <s v="C082"/>
    <d v="2025-09-07T00:00:00"/>
    <x v="11"/>
    <x v="0"/>
    <s v="Perfume"/>
    <n v="432.86"/>
    <s v="New York"/>
    <n v="1"/>
    <n v="6"/>
    <s v="Repeat"/>
  </r>
  <r>
    <s v="C094"/>
    <d v="2025-08-19T00:00:00"/>
    <x v="5"/>
    <x v="1"/>
    <s v="Sweater"/>
    <n v="333.9"/>
    <s v="Los Angeles"/>
    <n v="1"/>
    <n v="4"/>
    <s v="Repeat"/>
  </r>
  <r>
    <s v="C132"/>
    <d v="2026-02-09T00:00:00"/>
    <x v="0"/>
    <x v="1"/>
    <s v="Shoes"/>
    <n v="21.06"/>
    <s v="Chicago"/>
    <n v="1"/>
    <n v="4"/>
    <s v="Repeat"/>
  </r>
  <r>
    <s v="C073"/>
    <d v="2025-03-26T00:00:00"/>
    <x v="3"/>
    <x v="1"/>
    <s v="Sweater"/>
    <n v="294.70999999999998"/>
    <s v="Chicago"/>
    <n v="1"/>
    <n v="5"/>
    <s v="Repeat"/>
  </r>
  <r>
    <s v="C098"/>
    <d v="2025-05-21T00:00:00"/>
    <x v="2"/>
    <x v="0"/>
    <s v="Foundation"/>
    <n v="430.54"/>
    <s v="Boston"/>
    <n v="1"/>
    <n v="2"/>
    <s v="Repeat"/>
  </r>
  <r>
    <s v="C078"/>
    <d v="2025-04-14T00:00:00"/>
    <x v="6"/>
    <x v="2"/>
    <s v="Smartphone"/>
    <n v="290.05"/>
    <s v="Houston"/>
    <n v="1"/>
    <n v="5"/>
    <s v="Repeat"/>
  </r>
  <r>
    <s v="C038"/>
    <d v="2025-06-22T00:00:00"/>
    <x v="9"/>
    <x v="1"/>
    <s v="Jeans"/>
    <n v="230.56"/>
    <s v="Los Angeles"/>
    <n v="0"/>
    <n v="1"/>
    <s v="New"/>
  </r>
  <r>
    <s v="C015"/>
    <d v="2025-05-06T00:00:00"/>
    <x v="2"/>
    <x v="4"/>
    <s v="Lamp"/>
    <n v="204.14"/>
    <s v="Boston"/>
    <n v="1"/>
    <n v="6"/>
    <s v="Repeat"/>
  </r>
  <r>
    <s v="C049"/>
    <d v="2025-06-24T00:00:00"/>
    <x v="9"/>
    <x v="1"/>
    <s v="Shoes"/>
    <n v="256.36"/>
    <s v="Los Angeles"/>
    <n v="1"/>
    <n v="4"/>
    <s v="Repeat"/>
  </r>
  <r>
    <s v="C058"/>
    <d v="2026-02-10T00:00:00"/>
    <x v="0"/>
    <x v="3"/>
    <s v="Soccer Ball"/>
    <n v="39.01"/>
    <s v="Miami"/>
    <n v="1"/>
    <n v="4"/>
    <s v="Repeat"/>
  </r>
  <r>
    <s v="C034"/>
    <d v="2025-10-20T00:00:00"/>
    <x v="4"/>
    <x v="0"/>
    <s v="Lotion"/>
    <n v="273.18"/>
    <s v="Chicago"/>
    <n v="1"/>
    <n v="4"/>
    <s v="New"/>
  </r>
  <r>
    <s v="C138"/>
    <d v="2026-01-27T00:00:00"/>
    <x v="10"/>
    <x v="0"/>
    <s v="Perfume"/>
    <n v="171.82"/>
    <s v="Houston"/>
    <n v="1"/>
    <n v="4"/>
    <s v="Repeat"/>
  </r>
  <r>
    <s v="C028"/>
    <d v="2025-07-15T00:00:00"/>
    <x v="12"/>
    <x v="0"/>
    <s v="Foundation"/>
    <n v="41.64"/>
    <s v="Boston"/>
    <n v="1"/>
    <n v="3"/>
    <s v="New"/>
  </r>
  <r>
    <s v="C144"/>
    <d v="2025-06-13T00:00:00"/>
    <x v="9"/>
    <x v="1"/>
    <s v="Jacket"/>
    <n v="313.12"/>
    <s v="Seattle"/>
    <n v="1"/>
    <n v="2"/>
    <s v="New"/>
  </r>
  <r>
    <s v="C003"/>
    <d v="2025-02-23T00:00:00"/>
    <x v="8"/>
    <x v="3"/>
    <s v="Soccer Ball"/>
    <n v="364.23"/>
    <s v="Houston"/>
    <n v="1"/>
    <n v="5"/>
    <s v="Repeat"/>
  </r>
  <r>
    <s v="C005"/>
    <d v="2025-09-04T00:00:00"/>
    <x v="11"/>
    <x v="1"/>
    <s v="Jeans"/>
    <n v="404.49"/>
    <s v="Los Angeles"/>
    <n v="1"/>
    <n v="4"/>
    <s v="Repeat"/>
  </r>
  <r>
    <s v="C071"/>
    <d v="2025-04-11T00:00:00"/>
    <x v="6"/>
    <x v="2"/>
    <s v="Keyboard"/>
    <n v="468.26"/>
    <s v="Boston"/>
    <n v="1"/>
    <n v="6"/>
    <s v="Repeat"/>
  </r>
  <r>
    <s v="C091"/>
    <d v="2025-02-23T00:00:00"/>
    <x v="8"/>
    <x v="2"/>
    <s v="Mouse"/>
    <n v="253.72"/>
    <s v="Boston"/>
    <n v="1"/>
    <n v="5"/>
    <s v="Repeat"/>
  </r>
  <r>
    <s v="C200"/>
    <d v="2025-10-09T00:00:00"/>
    <x v="4"/>
    <x v="1"/>
    <s v="Shoes"/>
    <n v="199.5"/>
    <s v="Houston"/>
    <n v="1"/>
    <n v="2"/>
    <s v="New"/>
  </r>
  <r>
    <s v="C123"/>
    <d v="2026-01-17T00:00:00"/>
    <x v="10"/>
    <x v="3"/>
    <s v="Yoga Mat"/>
    <n v="441.77"/>
    <s v="Los Angeles"/>
    <n v="1"/>
    <n v="3"/>
    <s v="Repeat"/>
  </r>
  <r>
    <s v="C043"/>
    <d v="2025-05-02T00:00:00"/>
    <x v="2"/>
    <x v="0"/>
    <s v="Lotion"/>
    <n v="286.06"/>
    <s v="Houston"/>
    <n v="1"/>
    <n v="6"/>
    <s v="Repeat"/>
  </r>
  <r>
    <s v="C055"/>
    <d v="2025-03-12T00:00:00"/>
    <x v="3"/>
    <x v="1"/>
    <s v="T-shirt"/>
    <n v="412.32"/>
    <s v="Miami"/>
    <n v="1"/>
    <n v="5"/>
    <s v="Repeat"/>
  </r>
  <r>
    <s v="C131"/>
    <d v="2025-04-21T00:00:00"/>
    <x v="6"/>
    <x v="3"/>
    <s v="Sneakers"/>
    <n v="257.08"/>
    <s v="Boston"/>
    <n v="1"/>
    <n v="2"/>
    <s v="New"/>
  </r>
  <r>
    <s v="C106"/>
    <d v="2025-06-10T00:00:00"/>
    <x v="9"/>
    <x v="2"/>
    <s v="Laptop"/>
    <n v="28.14"/>
    <s v="Los Angeles"/>
    <n v="1"/>
    <n v="5"/>
    <s v="Repeat"/>
  </r>
  <r>
    <s v="C121"/>
    <d v="2026-01-05T00:00:00"/>
    <x v="10"/>
    <x v="4"/>
    <s v="Blender"/>
    <n v="436.71"/>
    <s v="Seattle"/>
    <n v="1"/>
    <n v="4"/>
    <s v="Repeat"/>
  </r>
  <r>
    <s v="C022"/>
    <d v="2025-07-10T00:00:00"/>
    <x v="12"/>
    <x v="2"/>
    <s v="Mouse"/>
    <n v="37.409999999999997"/>
    <s v="Chicago"/>
    <n v="1"/>
    <n v="2"/>
    <s v="Repeat"/>
  </r>
  <r>
    <s v="C118"/>
    <d v="2025-09-25T00:00:00"/>
    <x v="11"/>
    <x v="4"/>
    <s v="Toaster"/>
    <n v="454.77"/>
    <s v="New York"/>
    <n v="1"/>
    <n v="5"/>
    <s v="Repeat"/>
  </r>
  <r>
    <s v="C110"/>
    <d v="2025-07-29T00:00:00"/>
    <x v="12"/>
    <x v="0"/>
    <s v="Lipstick"/>
    <n v="41.7"/>
    <s v="Seattle"/>
    <n v="1"/>
    <n v="3"/>
    <s v="Repeat"/>
  </r>
  <r>
    <s v="C127"/>
    <d v="2025-09-01T00:00:00"/>
    <x v="11"/>
    <x v="4"/>
    <s v="Chair"/>
    <n v="443.16"/>
    <s v="Los Angeles"/>
    <n v="1"/>
    <n v="5"/>
    <s v="Repeat"/>
  </r>
  <r>
    <s v="C140"/>
    <d v="2025-03-22T00:00:00"/>
    <x v="3"/>
    <x v="0"/>
    <s v="Foundation"/>
    <n v="438.15"/>
    <s v="Boston"/>
    <n v="1"/>
    <n v="5"/>
    <s v="Repeat"/>
  </r>
  <r>
    <s v="C086"/>
    <d v="2025-03-14T00:00:00"/>
    <x v="3"/>
    <x v="1"/>
    <s v="Jeans"/>
    <n v="452.02"/>
    <s v="Boston"/>
    <n v="1"/>
    <n v="4"/>
    <s v="Repeat"/>
  </r>
  <r>
    <s v="C121"/>
    <d v="2025-06-23T00:00:00"/>
    <x v="9"/>
    <x v="4"/>
    <s v="Chair"/>
    <n v="159.28"/>
    <s v="New York"/>
    <n v="1"/>
    <n v="4"/>
    <s v="Repeat"/>
  </r>
  <r>
    <s v="C147"/>
    <d v="2025-05-22T00:00:00"/>
    <x v="2"/>
    <x v="3"/>
    <s v="Dumbbells"/>
    <n v="173.48"/>
    <s v="Chicago"/>
    <n v="1"/>
    <n v="2"/>
    <s v="Repeat"/>
  </r>
  <r>
    <s v="C095"/>
    <d v="2025-04-30T00:00:00"/>
    <x v="6"/>
    <x v="2"/>
    <s v="Smartphone"/>
    <n v="356.1"/>
    <s v="Chicago"/>
    <n v="1"/>
    <n v="2"/>
    <s v="New"/>
  </r>
  <r>
    <s v="C113"/>
    <d v="2025-06-10T00:00:00"/>
    <x v="9"/>
    <x v="0"/>
    <s v="Lotion"/>
    <n v="147.78"/>
    <s v="New York"/>
    <n v="1"/>
    <n v="5"/>
    <s v="Repeat"/>
  </r>
  <r>
    <s v="C129"/>
    <d v="2025-12-03T00:00:00"/>
    <x v="7"/>
    <x v="2"/>
    <s v="Keyboard"/>
    <n v="152.63"/>
    <s v="Seattle"/>
    <n v="1"/>
    <n v="3"/>
    <s v="New"/>
  </r>
  <r>
    <s v="C034"/>
    <d v="2025-07-25T00:00:00"/>
    <x v="12"/>
    <x v="2"/>
    <s v="Keyboard"/>
    <n v="467.67"/>
    <s v="Miami"/>
    <n v="1"/>
    <n v="4"/>
    <s v="Repeat"/>
  </r>
  <r>
    <s v="C058"/>
    <d v="2026-02-14T00:00:00"/>
    <x v="0"/>
    <x v="0"/>
    <s v="Lotion"/>
    <n v="117.74"/>
    <s v="Los Angeles"/>
    <n v="1"/>
    <n v="4"/>
    <s v="Repeat"/>
  </r>
  <r>
    <s v="C122"/>
    <d v="2025-10-04T00:00:00"/>
    <x v="4"/>
    <x v="3"/>
    <s v="Dumbbells"/>
    <n v="36.39"/>
    <s v="Seattle"/>
    <n v="1"/>
    <n v="5"/>
    <s v="Repeat"/>
  </r>
  <r>
    <s v="C035"/>
    <d v="2026-02-19T00:00:00"/>
    <x v="0"/>
    <x v="3"/>
    <s v="Tennis Racket"/>
    <n v="378.12"/>
    <s v="Los Angeles"/>
    <n v="1"/>
    <n v="2"/>
    <s v="Repeat"/>
  </r>
  <r>
    <s v="C055"/>
    <d v="2026-01-09T00:00:00"/>
    <x v="10"/>
    <x v="0"/>
    <s v="Shampoo"/>
    <n v="121.53"/>
    <s v="Los Angeles"/>
    <n v="1"/>
    <n v="5"/>
    <s v="Repeat"/>
  </r>
  <r>
    <s v="C164"/>
    <d v="2025-07-21T00:00:00"/>
    <x v="12"/>
    <x v="1"/>
    <s v="T-shirt"/>
    <n v="169.7"/>
    <s v="Boston"/>
    <n v="1"/>
    <n v="5"/>
    <s v="Repeat"/>
  </r>
  <r>
    <s v="C169"/>
    <d v="2025-06-26T00:00:00"/>
    <x v="9"/>
    <x v="3"/>
    <s v="Sneakers"/>
    <n v="107.7"/>
    <s v="Houston"/>
    <n v="1"/>
    <n v="5"/>
    <s v="Repeat"/>
  </r>
  <r>
    <s v="C192"/>
    <d v="2025-12-19T00:00:00"/>
    <x v="7"/>
    <x v="1"/>
    <s v="Jacket"/>
    <n v="38.51"/>
    <s v="Los Angeles"/>
    <n v="1"/>
    <n v="7"/>
    <s v="Repeat"/>
  </r>
  <r>
    <s v="C002"/>
    <d v="2025-05-29T00:00:00"/>
    <x v="2"/>
    <x v="1"/>
    <s v="Sweater"/>
    <n v="77.81"/>
    <s v="Los Angeles"/>
    <n v="1"/>
    <n v="3"/>
    <s v="Repeat"/>
  </r>
  <r>
    <s v="C037"/>
    <d v="2025-08-03T00:00:00"/>
    <x v="5"/>
    <x v="1"/>
    <s v="Jacket"/>
    <n v="26.27"/>
    <s v="Los Angeles"/>
    <n v="1"/>
    <n v="5"/>
    <s v="Repeat"/>
  </r>
  <r>
    <s v="C069"/>
    <d v="2025-10-03T00:00:00"/>
    <x v="4"/>
    <x v="1"/>
    <s v="Shoes"/>
    <n v="412.06"/>
    <s v="Seattle"/>
    <n v="1"/>
    <n v="7"/>
    <s v="Repeat"/>
  </r>
  <r>
    <s v="C160"/>
    <d v="2025-04-26T00:00:00"/>
    <x v="6"/>
    <x v="3"/>
    <s v="Dumbbells"/>
    <n v="81.510000000000005"/>
    <s v="Miami"/>
    <n v="1"/>
    <n v="2"/>
    <s v="New"/>
  </r>
  <r>
    <s v="C050"/>
    <d v="2025-05-06T00:00:00"/>
    <x v="2"/>
    <x v="0"/>
    <s v="Lipstick"/>
    <n v="464.4"/>
    <s v="Miami"/>
    <n v="1"/>
    <n v="2"/>
    <s v="New"/>
  </r>
  <r>
    <s v="C012"/>
    <d v="2025-12-03T00:00:00"/>
    <x v="7"/>
    <x v="4"/>
    <s v="Blender"/>
    <n v="241.59"/>
    <s v="Seattle"/>
    <n v="1"/>
    <n v="4"/>
    <s v="Repeat"/>
  </r>
  <r>
    <s v="C032"/>
    <d v="2025-12-31T00:00:00"/>
    <x v="7"/>
    <x v="2"/>
    <s v="Smartphone"/>
    <n v="100.51"/>
    <s v="Miami"/>
    <n v="0"/>
    <n v="1"/>
    <s v="New"/>
  </r>
  <r>
    <s v="C162"/>
    <d v="2025-04-18T00:00:00"/>
    <x v="6"/>
    <x v="0"/>
    <s v="Perfume"/>
    <n v="377"/>
    <s v="Seattle"/>
    <n v="1"/>
    <n v="4"/>
    <s v="Repeat"/>
  </r>
  <r>
    <s v="C062"/>
    <d v="2025-05-09T00:00:00"/>
    <x v="2"/>
    <x v="3"/>
    <s v="Dumbbells"/>
    <n v="405.64"/>
    <s v="Miami"/>
    <n v="1"/>
    <n v="3"/>
    <s v="Repeat"/>
  </r>
  <r>
    <s v="C055"/>
    <d v="2025-02-24T00:00:00"/>
    <x v="8"/>
    <x v="1"/>
    <s v="Jeans"/>
    <n v="221.59"/>
    <s v="Chicago"/>
    <n v="1"/>
    <n v="5"/>
    <s v="Repeat"/>
  </r>
  <r>
    <s v="C024"/>
    <d v="2025-12-03T00:00:00"/>
    <x v="7"/>
    <x v="4"/>
    <s v="Blender"/>
    <n v="308.06"/>
    <s v="Los Angeles"/>
    <n v="1"/>
    <n v="3"/>
    <s v="Repeat"/>
  </r>
  <r>
    <s v="C196"/>
    <d v="2025-06-29T00:00:00"/>
    <x v="9"/>
    <x v="1"/>
    <s v="Shoes"/>
    <n v="288.60000000000002"/>
    <s v="Chicago"/>
    <n v="1"/>
    <n v="5"/>
    <s v="Repeat"/>
  </r>
  <r>
    <s v="C082"/>
    <d v="2025-08-29T00:00:00"/>
    <x v="5"/>
    <x v="3"/>
    <s v="Yoga Mat"/>
    <n v="86.46"/>
    <s v="Los Angeles"/>
    <n v="1"/>
    <n v="6"/>
    <s v="Repeat"/>
  </r>
  <r>
    <s v="C106"/>
    <d v="2025-05-25T00:00:00"/>
    <x v="2"/>
    <x v="2"/>
    <s v="Keyboard"/>
    <n v="383.33"/>
    <s v="Los Angeles"/>
    <n v="1"/>
    <n v="5"/>
    <s v="Repeat"/>
  </r>
  <r>
    <s v="C139"/>
    <d v="2026-02-19T00:00:00"/>
    <x v="0"/>
    <x v="3"/>
    <s v="Yoga Mat"/>
    <n v="265.94"/>
    <s v="Boston"/>
    <n v="1"/>
    <n v="5"/>
    <s v="Repeat"/>
  </r>
  <r>
    <s v="C030"/>
    <d v="2025-03-17T00:00:00"/>
    <x v="3"/>
    <x v="1"/>
    <s v="T-shirt"/>
    <n v="439.26"/>
    <s v="Miami"/>
    <n v="1"/>
    <n v="3"/>
    <s v="Repeat"/>
  </r>
  <r>
    <s v="C188"/>
    <d v="2025-10-13T00:00:00"/>
    <x v="4"/>
    <x v="0"/>
    <s v="Perfume"/>
    <n v="93.78"/>
    <s v="New York"/>
    <n v="1"/>
    <n v="6"/>
    <s v="Repeat"/>
  </r>
  <r>
    <s v="C037"/>
    <d v="2025-06-21T00:00:00"/>
    <x v="9"/>
    <x v="0"/>
    <s v="Foundation"/>
    <n v="300.29000000000002"/>
    <s v="New York"/>
    <n v="1"/>
    <n v="5"/>
    <s v="Repeat"/>
  </r>
  <r>
    <s v="C186"/>
    <d v="2026-01-31T00:00:00"/>
    <x v="10"/>
    <x v="4"/>
    <s v="Lamp"/>
    <n v="390.22"/>
    <s v="New York"/>
    <n v="1"/>
    <n v="3"/>
    <s v="New"/>
  </r>
  <r>
    <s v="C036"/>
    <d v="2025-11-12T00:00:00"/>
    <x v="1"/>
    <x v="3"/>
    <s v="Dumbbells"/>
    <n v="245.35"/>
    <s v="Los Angeles"/>
    <n v="1"/>
    <n v="4"/>
    <s v="Repeat"/>
  </r>
  <r>
    <s v="C175"/>
    <d v="2025-03-26T00:00:00"/>
    <x v="3"/>
    <x v="4"/>
    <s v="Toaster"/>
    <n v="409.92"/>
    <s v="Los Angeles"/>
    <n v="1"/>
    <n v="3"/>
    <s v="New"/>
  </r>
  <r>
    <s v="C144"/>
    <d v="2025-06-27T00:00:00"/>
    <x v="9"/>
    <x v="2"/>
    <s v="Headphones"/>
    <n v="422.41"/>
    <s v="Boston"/>
    <n v="1"/>
    <n v="2"/>
    <s v="Repeat"/>
  </r>
  <r>
    <s v="C033"/>
    <d v="2026-02-12T00:00:00"/>
    <x v="0"/>
    <x v="0"/>
    <s v="Lipstick"/>
    <n v="72.12"/>
    <s v="New York"/>
    <n v="1"/>
    <n v="5"/>
    <s v="Repeat"/>
  </r>
  <r>
    <s v="C165"/>
    <d v="2025-08-20T00:00:00"/>
    <x v="5"/>
    <x v="4"/>
    <s v="Chair"/>
    <n v="68.41"/>
    <s v="New York"/>
    <n v="1"/>
    <n v="3"/>
    <s v="Repeat"/>
  </r>
  <r>
    <s v="C006"/>
    <d v="2025-10-04T00:00:00"/>
    <x v="4"/>
    <x v="1"/>
    <s v="Sweater"/>
    <n v="334.19"/>
    <s v="Miami"/>
    <n v="1"/>
    <n v="6"/>
    <s v="Repeat"/>
  </r>
  <r>
    <s v="C108"/>
    <d v="2025-09-16T00:00:00"/>
    <x v="11"/>
    <x v="4"/>
    <s v="Toaster"/>
    <n v="52.58"/>
    <s v="Boston"/>
    <n v="1"/>
    <n v="4"/>
    <s v="New"/>
  </r>
  <r>
    <s v="C199"/>
    <d v="2025-06-09T00:00:00"/>
    <x v="9"/>
    <x v="4"/>
    <s v="Toaster"/>
    <n v="226.26"/>
    <s v="Houston"/>
    <n v="1"/>
    <n v="7"/>
    <s v="Repeat"/>
  </r>
  <r>
    <s v="C185"/>
    <d v="2025-07-31T00:00:00"/>
    <x v="12"/>
    <x v="3"/>
    <s v="Tennis Racket"/>
    <n v="184.2"/>
    <s v="Houston"/>
    <n v="1"/>
    <n v="2"/>
    <s v="Repeat"/>
  </r>
  <r>
    <s v="C006"/>
    <d v="2025-12-01T00:00:00"/>
    <x v="7"/>
    <x v="3"/>
    <s v="Yoga Mat"/>
    <n v="379.58"/>
    <s v="Seattle"/>
    <n v="1"/>
    <n v="6"/>
    <s v="Repeat"/>
  </r>
  <r>
    <s v="C101"/>
    <d v="2025-09-29T00:00:00"/>
    <x v="11"/>
    <x v="0"/>
    <s v="Perfume"/>
    <n v="11.65"/>
    <s v="New York"/>
    <n v="1"/>
    <n v="6"/>
    <s v="Repeat"/>
  </r>
  <r>
    <s v="C004"/>
    <d v="2025-09-24T00:00:00"/>
    <x v="11"/>
    <x v="4"/>
    <s v="Microwave"/>
    <n v="83.44"/>
    <s v="Houston"/>
    <n v="1"/>
    <n v="2"/>
    <s v="Repeat"/>
  </r>
  <r>
    <s v="C134"/>
    <d v="2025-08-21T00:00:00"/>
    <x v="5"/>
    <x v="3"/>
    <s v="Soccer Ball"/>
    <n v="463.81"/>
    <s v="Seattle"/>
    <n v="1"/>
    <n v="6"/>
    <s v="Repeat"/>
  </r>
  <r>
    <s v="C017"/>
    <d v="2025-08-11T00:00:00"/>
    <x v="5"/>
    <x v="0"/>
    <s v="Lotion"/>
    <n v="344.77"/>
    <s v="Houston"/>
    <n v="1"/>
    <n v="6"/>
    <s v="Repeat"/>
  </r>
  <r>
    <s v="C017"/>
    <d v="2025-03-03T00:00:00"/>
    <x v="3"/>
    <x v="4"/>
    <s v="Lamp"/>
    <n v="371.42"/>
    <s v="Houston"/>
    <n v="1"/>
    <n v="6"/>
    <s v="Repeat"/>
  </r>
  <r>
    <s v="C025"/>
    <d v="2025-04-17T00:00:00"/>
    <x v="6"/>
    <x v="2"/>
    <s v="Mouse"/>
    <n v="104.14"/>
    <s v="Los Angeles"/>
    <n v="1"/>
    <n v="6"/>
    <s v="Repeat"/>
  </r>
  <r>
    <s v="C177"/>
    <d v="2025-05-16T00:00:00"/>
    <x v="2"/>
    <x v="4"/>
    <s v="Microwave"/>
    <n v="207.05"/>
    <s v="Houston"/>
    <n v="1"/>
    <n v="2"/>
    <s v="New"/>
  </r>
  <r>
    <s v="C064"/>
    <d v="2025-12-17T00:00:00"/>
    <x v="7"/>
    <x v="3"/>
    <s v="Soccer Ball"/>
    <n v="106.28"/>
    <s v="Chicago"/>
    <n v="1"/>
    <n v="4"/>
    <s v="Repeat"/>
  </r>
  <r>
    <s v="C067"/>
    <d v="2025-11-24T00:00:00"/>
    <x v="1"/>
    <x v="2"/>
    <s v="Mouse"/>
    <n v="448.65"/>
    <s v="Seattle"/>
    <n v="1"/>
    <n v="4"/>
    <s v="Repeat"/>
  </r>
  <r>
    <s v="C182"/>
    <d v="2026-01-17T00:00:00"/>
    <x v="10"/>
    <x v="3"/>
    <s v="Dumbbells"/>
    <n v="361.83"/>
    <s v="Houston"/>
    <n v="1"/>
    <n v="3"/>
    <s v="Repeat"/>
  </r>
  <r>
    <s v="C195"/>
    <d v="2025-04-14T00:00:00"/>
    <x v="6"/>
    <x v="2"/>
    <s v="Laptop"/>
    <n v="79.12"/>
    <s v="Chicago"/>
    <n v="1"/>
    <n v="5"/>
    <s v="Repeat"/>
  </r>
  <r>
    <s v="C129"/>
    <d v="2025-11-04T00:00:00"/>
    <x v="1"/>
    <x v="4"/>
    <s v="Toaster"/>
    <n v="356.99"/>
    <s v="Chicago"/>
    <n v="1"/>
    <n v="3"/>
    <s v="Repeat"/>
  </r>
  <r>
    <s v="C073"/>
    <d v="2025-05-22T00:00:00"/>
    <x v="2"/>
    <x v="4"/>
    <s v="Lamp"/>
    <n v="386.73"/>
    <s v="Los Angeles"/>
    <n v="1"/>
    <n v="5"/>
    <s v="Repeat"/>
  </r>
  <r>
    <s v="C102"/>
    <d v="2025-08-17T00:00:00"/>
    <x v="5"/>
    <x v="2"/>
    <s v="Headphones"/>
    <n v="149.16"/>
    <s v="Miami"/>
    <n v="1"/>
    <n v="5"/>
    <s v="Repeat"/>
  </r>
  <r>
    <s v="C192"/>
    <d v="2025-10-02T00:00:00"/>
    <x v="4"/>
    <x v="2"/>
    <s v="Laptop"/>
    <n v="334.87"/>
    <s v="Miami"/>
    <n v="1"/>
    <n v="7"/>
    <s v="Repeat"/>
  </r>
  <r>
    <s v="C071"/>
    <d v="2025-08-12T00:00:00"/>
    <x v="5"/>
    <x v="0"/>
    <s v="Shampoo"/>
    <n v="271.10000000000002"/>
    <s v="Chicago"/>
    <n v="1"/>
    <n v="6"/>
    <s v="Repeat"/>
  </r>
  <r>
    <s v="C043"/>
    <d v="2026-02-16T00:00:00"/>
    <x v="0"/>
    <x v="4"/>
    <s v="Chair"/>
    <n v="114.48"/>
    <s v="Houston"/>
    <n v="1"/>
    <n v="6"/>
    <s v="Repeat"/>
  </r>
  <r>
    <s v="C086"/>
    <d v="2026-02-20T00:00:00"/>
    <x v="0"/>
    <x v="4"/>
    <s v="Blender"/>
    <n v="302.67"/>
    <s v="Seattle"/>
    <n v="1"/>
    <n v="4"/>
    <s v="Repeat"/>
  </r>
  <r>
    <s v="C199"/>
    <d v="2025-04-14T00:00:00"/>
    <x v="6"/>
    <x v="1"/>
    <s v="Jacket"/>
    <n v="281.33"/>
    <s v="Boston"/>
    <n v="1"/>
    <n v="7"/>
    <s v="Repeat"/>
  </r>
  <r>
    <s v="C140"/>
    <d v="2026-02-04T00:00:00"/>
    <x v="0"/>
    <x v="0"/>
    <s v="Lotion"/>
    <n v="94.35"/>
    <s v="Los Angeles"/>
    <n v="1"/>
    <n v="5"/>
    <s v="Repeat"/>
  </r>
  <r>
    <s v="C200"/>
    <d v="2025-10-05T00:00:00"/>
    <x v="4"/>
    <x v="4"/>
    <s v="Toaster"/>
    <n v="215.74"/>
    <s v="Chicago"/>
    <n v="1"/>
    <n v="2"/>
    <s v="Repeat"/>
  </r>
  <r>
    <s v="C002"/>
    <d v="2025-06-05T00:00:00"/>
    <x v="9"/>
    <x v="4"/>
    <s v="Microwave"/>
    <n v="346.08"/>
    <s v="Houston"/>
    <n v="1"/>
    <n v="3"/>
    <s v="Repeat"/>
  </r>
  <r>
    <s v="C019"/>
    <d v="2025-12-01T00:00:00"/>
    <x v="7"/>
    <x v="3"/>
    <s v="Dumbbells"/>
    <n v="394.95"/>
    <s v="Los Angeles"/>
    <n v="1"/>
    <n v="6"/>
    <s v="Repeat"/>
  </r>
  <r>
    <s v="C094"/>
    <d v="2025-03-17T00:00:00"/>
    <x v="3"/>
    <x v="1"/>
    <s v="Jacket"/>
    <n v="274.08999999999997"/>
    <s v="New York"/>
    <n v="1"/>
    <n v="4"/>
    <s v="Repeat"/>
  </r>
  <r>
    <s v="C069"/>
    <d v="2025-09-20T00:00:00"/>
    <x v="11"/>
    <x v="3"/>
    <s v="Soccer Ball"/>
    <n v="221"/>
    <s v="Los Angeles"/>
    <n v="1"/>
    <n v="7"/>
    <s v="Repeat"/>
  </r>
  <r>
    <s v="C091"/>
    <d v="2026-01-08T00:00:00"/>
    <x v="10"/>
    <x v="0"/>
    <s v="Perfume"/>
    <n v="432.18"/>
    <s v="Chicago"/>
    <n v="1"/>
    <n v="5"/>
    <s v="Repeat"/>
  </r>
  <r>
    <s v="C075"/>
    <d v="2025-10-29T00:00:00"/>
    <x v="4"/>
    <x v="3"/>
    <s v="Tennis Racket"/>
    <n v="452.32"/>
    <s v="Chicago"/>
    <n v="1"/>
    <n v="8"/>
    <s v="Repeat"/>
  </r>
  <r>
    <s v="C023"/>
    <d v="2025-06-25T00:00:00"/>
    <x v="9"/>
    <x v="0"/>
    <s v="Lipstick"/>
    <n v="118.33"/>
    <s v="Seattle"/>
    <n v="1"/>
    <n v="5"/>
    <s v="Repeat"/>
  </r>
  <r>
    <s v="C130"/>
    <d v="2025-03-17T00:00:00"/>
    <x v="3"/>
    <x v="1"/>
    <s v="Sweater"/>
    <n v="132.66"/>
    <s v="Boston"/>
    <n v="1"/>
    <n v="5"/>
    <s v="Repeat"/>
  </r>
  <r>
    <s v="C026"/>
    <d v="2025-05-26T00:00:00"/>
    <x v="2"/>
    <x v="1"/>
    <s v="Shoes"/>
    <n v="281.23"/>
    <s v="New York"/>
    <n v="1"/>
    <n v="3"/>
    <s v="Repeat"/>
  </r>
  <r>
    <s v="C050"/>
    <d v="2025-10-14T00:00:00"/>
    <x v="4"/>
    <x v="3"/>
    <s v="Tennis Racket"/>
    <n v="196.71"/>
    <s v="Los Angeles"/>
    <n v="1"/>
    <n v="2"/>
    <s v="Repeat"/>
  </r>
  <r>
    <s v="C165"/>
    <d v="2026-01-14T00:00:00"/>
    <x v="10"/>
    <x v="1"/>
    <s v="Sweater"/>
    <n v="314.19"/>
    <s v="Los Angeles"/>
    <n v="1"/>
    <n v="3"/>
    <s v="Repeat"/>
  </r>
  <r>
    <s v="C071"/>
    <d v="2025-05-08T00:00:00"/>
    <x v="2"/>
    <x v="2"/>
    <s v="Laptop"/>
    <n v="58.57"/>
    <s v="Houston"/>
    <n v="1"/>
    <n v="6"/>
    <s v="Repeat"/>
  </r>
  <r>
    <s v="C137"/>
    <d v="2025-05-19T00:00:00"/>
    <x v="2"/>
    <x v="2"/>
    <s v="Headphones"/>
    <n v="494.82"/>
    <s v="Seattle"/>
    <n v="1"/>
    <n v="5"/>
    <s v="Repeat"/>
  </r>
  <r>
    <s v="C158"/>
    <d v="2026-02-11T00:00:00"/>
    <x v="0"/>
    <x v="0"/>
    <s v="Lipstick"/>
    <n v="128.52000000000001"/>
    <s v="New York"/>
    <n v="1"/>
    <n v="5"/>
    <s v="Repeat"/>
  </r>
  <r>
    <s v="C158"/>
    <d v="2025-10-07T00:00:00"/>
    <x v="4"/>
    <x v="1"/>
    <s v="Jeans"/>
    <n v="347.24"/>
    <s v="New York"/>
    <n v="1"/>
    <n v="5"/>
    <s v="Repeat"/>
  </r>
  <r>
    <s v="C042"/>
    <d v="2026-02-02T00:00:00"/>
    <x v="0"/>
    <x v="3"/>
    <s v="Soccer Ball"/>
    <n v="298.57"/>
    <s v="Seattle"/>
    <n v="1"/>
    <n v="3"/>
    <s v="Repeat"/>
  </r>
  <r>
    <s v="C187"/>
    <d v="2025-06-19T00:00:00"/>
    <x v="9"/>
    <x v="1"/>
    <s v="Jacket"/>
    <n v="89.82"/>
    <s v="New York"/>
    <n v="1"/>
    <n v="5"/>
    <s v="Repeat"/>
  </r>
  <r>
    <s v="C029"/>
    <d v="2025-12-06T00:00:00"/>
    <x v="7"/>
    <x v="4"/>
    <s v="Microwave"/>
    <n v="91.86"/>
    <s v="New York"/>
    <n v="1"/>
    <n v="6"/>
    <s v="New"/>
  </r>
  <r>
    <s v="C126"/>
    <d v="2025-11-23T00:00:00"/>
    <x v="1"/>
    <x v="4"/>
    <s v="Chair"/>
    <n v="163.26"/>
    <s v="Miami"/>
    <n v="1"/>
    <n v="2"/>
    <s v="New"/>
  </r>
  <r>
    <s v="C065"/>
    <d v="2025-10-13T00:00:00"/>
    <x v="4"/>
    <x v="2"/>
    <s v="Smartphone"/>
    <n v="478.95"/>
    <s v="Houston"/>
    <n v="1"/>
    <n v="4"/>
    <s v="New"/>
  </r>
  <r>
    <s v="C142"/>
    <d v="2026-01-20T00:00:00"/>
    <x v="10"/>
    <x v="2"/>
    <s v="Keyboard"/>
    <n v="127.65"/>
    <s v="Chicago"/>
    <n v="1"/>
    <n v="6"/>
    <s v="Repeat"/>
  </r>
  <r>
    <s v="C065"/>
    <d v="2025-06-30T00:00:00"/>
    <x v="9"/>
    <x v="3"/>
    <s v="Soccer Ball"/>
    <n v="124.64"/>
    <s v="New York"/>
    <n v="1"/>
    <n v="4"/>
    <s v="Repeat"/>
  </r>
  <r>
    <s v="C080"/>
    <d v="2025-10-13T00:00:00"/>
    <x v="4"/>
    <x v="3"/>
    <s v="Dumbbells"/>
    <n v="363.25"/>
    <s v="Chicago"/>
    <n v="1"/>
    <n v="2"/>
    <s v="Repeat"/>
  </r>
  <r>
    <s v="C193"/>
    <d v="2025-05-14T00:00:00"/>
    <x v="2"/>
    <x v="4"/>
    <s v="Chair"/>
    <n v="300.17"/>
    <s v="Chicago"/>
    <n v="1"/>
    <n v="2"/>
    <s v="New"/>
  </r>
  <r>
    <s v="C030"/>
    <d v="2025-08-07T00:00:00"/>
    <x v="5"/>
    <x v="1"/>
    <s v="Jacket"/>
    <n v="92.23"/>
    <s v="Chicago"/>
    <n v="1"/>
    <n v="3"/>
    <s v="Repeat"/>
  </r>
  <r>
    <s v="C127"/>
    <d v="2025-06-30T00:00:00"/>
    <x v="9"/>
    <x v="3"/>
    <s v="Soccer Ball"/>
    <n v="26.34"/>
    <s v="Boston"/>
    <n v="1"/>
    <n v="5"/>
    <s v="Repeat"/>
  </r>
  <r>
    <s v="C198"/>
    <d v="2025-07-10T00:00:00"/>
    <x v="12"/>
    <x v="3"/>
    <s v="Tennis Racket"/>
    <n v="158.27000000000001"/>
    <s v="Houston"/>
    <n v="1"/>
    <n v="5"/>
    <s v="Repeat"/>
  </r>
  <r>
    <s v="C150"/>
    <d v="2025-11-14T00:00:00"/>
    <x v="1"/>
    <x v="2"/>
    <s v="Headphones"/>
    <n v="315.02999999999997"/>
    <s v="Seattle"/>
    <n v="1"/>
    <n v="3"/>
    <s v="New"/>
  </r>
  <r>
    <s v="C194"/>
    <d v="2025-05-28T00:00:00"/>
    <x v="2"/>
    <x v="0"/>
    <s v="Foundation"/>
    <n v="205.01"/>
    <s v="Boston"/>
    <n v="1"/>
    <n v="7"/>
    <s v="Repeat"/>
  </r>
  <r>
    <s v="C169"/>
    <d v="2025-05-26T00:00:00"/>
    <x v="2"/>
    <x v="0"/>
    <s v="Shampoo"/>
    <n v="149.5"/>
    <s v="Seattle"/>
    <n v="1"/>
    <n v="5"/>
    <s v="Repeat"/>
  </r>
  <r>
    <s v="C021"/>
    <d v="2025-09-25T00:00:00"/>
    <x v="11"/>
    <x v="4"/>
    <s v="Blender"/>
    <n v="116.99"/>
    <s v="New York"/>
    <n v="1"/>
    <n v="2"/>
    <s v="Repeat"/>
  </r>
  <r>
    <s v="C075"/>
    <d v="2025-08-28T00:00:00"/>
    <x v="5"/>
    <x v="1"/>
    <s v="Jeans"/>
    <n v="162.31"/>
    <s v="Seattle"/>
    <n v="1"/>
    <n v="8"/>
    <s v="Repeat"/>
  </r>
  <r>
    <s v="C119"/>
    <d v="2025-11-10T00:00:00"/>
    <x v="1"/>
    <x v="0"/>
    <s v="Foundation"/>
    <n v="187.56"/>
    <s v="Miami"/>
    <n v="1"/>
    <n v="6"/>
    <s v="Repeat"/>
  </r>
  <r>
    <s v="C088"/>
    <d v="2025-04-24T00:00:00"/>
    <x v="6"/>
    <x v="0"/>
    <s v="Perfume"/>
    <n v="401.3"/>
    <s v="Los Angeles"/>
    <n v="0"/>
    <n v="1"/>
    <s v="New"/>
  </r>
  <r>
    <s v="C102"/>
    <d v="2025-11-23T00:00:00"/>
    <x v="1"/>
    <x v="0"/>
    <s v="Lotion"/>
    <n v="200.04"/>
    <s v="Chicago"/>
    <n v="1"/>
    <n v="5"/>
    <s v="Repeat"/>
  </r>
  <r>
    <s v="C146"/>
    <d v="2026-01-23T00:00:00"/>
    <x v="10"/>
    <x v="4"/>
    <s v="Toaster"/>
    <n v="451.19"/>
    <s v="Miami"/>
    <n v="0"/>
    <n v="1"/>
    <s v="New"/>
  </r>
  <r>
    <s v="C045"/>
    <d v="2025-08-17T00:00:00"/>
    <x v="5"/>
    <x v="1"/>
    <s v="T-shirt"/>
    <n v="104.67"/>
    <s v="Seattle"/>
    <n v="0"/>
    <n v="1"/>
    <s v="New"/>
  </r>
  <r>
    <s v="C142"/>
    <d v="2025-04-17T00:00:00"/>
    <x v="6"/>
    <x v="1"/>
    <s v="Shoes"/>
    <n v="400.16"/>
    <s v="Seattle"/>
    <n v="1"/>
    <n v="6"/>
    <s v="Repeat"/>
  </r>
  <r>
    <s v="C003"/>
    <d v="2025-12-07T00:00:00"/>
    <x v="7"/>
    <x v="0"/>
    <s v="Shampoo"/>
    <n v="435.35"/>
    <s v="Miami"/>
    <n v="1"/>
    <n v="5"/>
    <s v="Repeat"/>
  </r>
  <r>
    <s v="C106"/>
    <d v="2025-02-28T00:00:00"/>
    <x v="8"/>
    <x v="2"/>
    <s v="Laptop"/>
    <n v="212.95"/>
    <s v="Boston"/>
    <n v="1"/>
    <n v="5"/>
    <s v="Repeat"/>
  </r>
  <r>
    <s v="C066"/>
    <d v="2025-10-05T00:00:00"/>
    <x v="4"/>
    <x v="1"/>
    <s v="Sweater"/>
    <n v="114.3"/>
    <s v="Seattle"/>
    <n v="1"/>
    <n v="2"/>
    <s v="New"/>
  </r>
  <r>
    <s v="C069"/>
    <d v="2025-10-06T00:00:00"/>
    <x v="4"/>
    <x v="2"/>
    <s v="Headphones"/>
    <n v="67.739999999999995"/>
    <s v="New York"/>
    <n v="1"/>
    <n v="7"/>
    <s v="Repeat"/>
  </r>
  <r>
    <s v="C188"/>
    <d v="2025-06-01T00:00:00"/>
    <x v="9"/>
    <x v="0"/>
    <s v="Shampoo"/>
    <n v="130.01"/>
    <s v="Miami"/>
    <n v="1"/>
    <n v="6"/>
    <s v="Repeat"/>
  </r>
  <r>
    <s v="C094"/>
    <d v="2025-09-12T00:00:00"/>
    <x v="11"/>
    <x v="2"/>
    <s v="Keyboard"/>
    <n v="82.83"/>
    <s v="Houston"/>
    <n v="1"/>
    <n v="4"/>
    <s v="Repeat"/>
  </r>
  <r>
    <s v="C137"/>
    <d v="2025-03-10T00:00:00"/>
    <x v="3"/>
    <x v="2"/>
    <s v="Laptop"/>
    <n v="90.77"/>
    <s v="Chicago"/>
    <n v="1"/>
    <n v="5"/>
    <s v="Repeat"/>
  </r>
  <r>
    <s v="C154"/>
    <d v="2025-10-25T00:00:00"/>
    <x v="4"/>
    <x v="3"/>
    <s v="Tennis Racket"/>
    <n v="250.67"/>
    <s v="Chicago"/>
    <n v="1"/>
    <n v="3"/>
    <s v="Repeat"/>
  </r>
  <r>
    <s v="C044"/>
    <d v="2025-08-17T00:00:00"/>
    <x v="5"/>
    <x v="1"/>
    <s v="Jeans"/>
    <n v="454.68"/>
    <s v="New York"/>
    <n v="1"/>
    <n v="3"/>
    <s v="Repeat"/>
  </r>
  <r>
    <s v="C067"/>
    <d v="2025-10-28T00:00:00"/>
    <x v="4"/>
    <x v="3"/>
    <s v="Yoga Mat"/>
    <n v="210"/>
    <s v="Chicago"/>
    <n v="1"/>
    <n v="4"/>
    <s v="Repeat"/>
  </r>
  <r>
    <s v="C193"/>
    <d v="2025-06-02T00:00:00"/>
    <x v="9"/>
    <x v="1"/>
    <s v="Jacket"/>
    <n v="453.69"/>
    <s v="Los Angeles"/>
    <n v="1"/>
    <n v="2"/>
    <s v="Repeat"/>
  </r>
  <r>
    <s v="C023"/>
    <d v="2025-11-14T00:00:00"/>
    <x v="1"/>
    <x v="0"/>
    <s v="Lotion"/>
    <n v="17.96"/>
    <s v="Miami"/>
    <n v="1"/>
    <n v="5"/>
    <s v="Repeat"/>
  </r>
  <r>
    <s v="C007"/>
    <d v="2025-03-19T00:00:00"/>
    <x v="3"/>
    <x v="4"/>
    <s v="Toaster"/>
    <n v="380.3"/>
    <s v="Miami"/>
    <n v="0"/>
    <n v="1"/>
    <s v="New"/>
  </r>
  <r>
    <s v="C034"/>
    <d v="2025-08-20T00:00:00"/>
    <x v="5"/>
    <x v="1"/>
    <s v="Jeans"/>
    <n v="440.63"/>
    <s v="Seattle"/>
    <n v="1"/>
    <n v="4"/>
    <s v="Repeat"/>
  </r>
  <r>
    <s v="C174"/>
    <d v="2026-01-01T00:00:00"/>
    <x v="10"/>
    <x v="0"/>
    <s v="Foundation"/>
    <n v="484.92"/>
    <s v="Boston"/>
    <n v="1"/>
    <n v="3"/>
    <s v="Repeat"/>
  </r>
  <r>
    <s v="C027"/>
    <d v="2025-09-24T00:00:00"/>
    <x v="11"/>
    <x v="3"/>
    <s v="Dumbbells"/>
    <n v="377.4"/>
    <s v="Chicago"/>
    <n v="1"/>
    <n v="2"/>
    <s v="New"/>
  </r>
  <r>
    <s v="C177"/>
    <d v="2025-11-09T00:00:00"/>
    <x v="1"/>
    <x v="3"/>
    <s v="Dumbbells"/>
    <n v="324.45"/>
    <s v="Houston"/>
    <n v="1"/>
    <n v="2"/>
    <s v="Repeat"/>
  </r>
  <r>
    <s v="C192"/>
    <d v="2025-11-10T00:00:00"/>
    <x v="1"/>
    <x v="3"/>
    <s v="Yoga Mat"/>
    <n v="304.74"/>
    <s v="New York"/>
    <n v="1"/>
    <n v="7"/>
    <s v="Repeat"/>
  </r>
  <r>
    <s v="C109"/>
    <d v="2025-03-09T00:00:00"/>
    <x v="3"/>
    <x v="3"/>
    <s v="Yoga Mat"/>
    <n v="290.57"/>
    <s v="Chicago"/>
    <n v="1"/>
    <n v="4"/>
    <s v="Repeat"/>
  </r>
  <r>
    <s v="C076"/>
    <d v="2025-12-17T00:00:00"/>
    <x v="7"/>
    <x v="1"/>
    <s v="Shoes"/>
    <n v="457.2"/>
    <s v="New York"/>
    <n v="1"/>
    <n v="6"/>
    <s v="Repeat"/>
  </r>
  <r>
    <s v="C155"/>
    <d v="2025-05-15T00:00:00"/>
    <x v="2"/>
    <x v="1"/>
    <s v="T-shirt"/>
    <n v="164.16"/>
    <s v="Houston"/>
    <n v="1"/>
    <n v="3"/>
    <s v="New"/>
  </r>
  <r>
    <s v="C052"/>
    <d v="2025-07-05T00:00:00"/>
    <x v="12"/>
    <x v="3"/>
    <s v="Sneakers"/>
    <n v="282.56"/>
    <s v="Miami"/>
    <n v="1"/>
    <n v="2"/>
    <s v="New"/>
  </r>
  <r>
    <s v="C016"/>
    <d v="2025-02-27T00:00:00"/>
    <x v="8"/>
    <x v="1"/>
    <s v="Jeans"/>
    <n v="218.7"/>
    <s v="Seattle"/>
    <n v="1"/>
    <n v="9"/>
    <s v="Repeat"/>
  </r>
  <r>
    <s v="C170"/>
    <d v="2025-08-25T00:00:00"/>
    <x v="5"/>
    <x v="0"/>
    <s v="Perfume"/>
    <n v="20.93"/>
    <s v="Houston"/>
    <n v="1"/>
    <n v="4"/>
    <s v="Repeat"/>
  </r>
  <r>
    <s v="C142"/>
    <d v="2025-10-19T00:00:00"/>
    <x v="4"/>
    <x v="2"/>
    <s v="Mouse"/>
    <n v="382.71"/>
    <s v="Seattle"/>
    <n v="1"/>
    <n v="6"/>
    <s v="Repeat"/>
  </r>
  <r>
    <s v="C084"/>
    <d v="2025-08-05T00:00:00"/>
    <x v="5"/>
    <x v="1"/>
    <s v="Jeans"/>
    <n v="116.98"/>
    <s v="Houston"/>
    <n v="1"/>
    <n v="5"/>
    <s v="Repeat"/>
  </r>
  <r>
    <s v="C085"/>
    <d v="2025-09-30T00:00:00"/>
    <x v="11"/>
    <x v="2"/>
    <s v="Keyboard"/>
    <n v="365.25"/>
    <s v="New York"/>
    <n v="1"/>
    <n v="4"/>
    <s v="Repeat"/>
  </r>
  <r>
    <s v="C018"/>
    <d v="2025-10-07T00:00:00"/>
    <x v="4"/>
    <x v="1"/>
    <s v="Jacket"/>
    <n v="274.32"/>
    <s v="Houston"/>
    <n v="1"/>
    <n v="6"/>
    <s v="Repeat"/>
  </r>
  <r>
    <s v="C019"/>
    <d v="2025-07-08T00:00:00"/>
    <x v="12"/>
    <x v="1"/>
    <s v="Shoes"/>
    <n v="366.4"/>
    <s v="Los Angeles"/>
    <n v="1"/>
    <n v="6"/>
    <s v="Repeat"/>
  </r>
  <r>
    <s v="C145"/>
    <d v="2025-10-29T00:00:00"/>
    <x v="4"/>
    <x v="2"/>
    <s v="Mouse"/>
    <n v="163.05000000000001"/>
    <s v="Los Angeles"/>
    <n v="1"/>
    <n v="2"/>
    <s v="New"/>
  </r>
  <r>
    <s v="C015"/>
    <d v="2025-07-17T00:00:00"/>
    <x v="12"/>
    <x v="0"/>
    <s v="Shampoo"/>
    <n v="248.56"/>
    <s v="New York"/>
    <n v="1"/>
    <n v="6"/>
    <s v="Repeat"/>
  </r>
  <r>
    <s v="C122"/>
    <d v="2025-06-07T00:00:00"/>
    <x v="9"/>
    <x v="3"/>
    <s v="Soccer Ball"/>
    <n v="466.81"/>
    <s v="Houston"/>
    <n v="1"/>
    <n v="5"/>
    <s v="Repeat"/>
  </r>
  <r>
    <s v="C161"/>
    <d v="2025-08-11T00:00:00"/>
    <x v="5"/>
    <x v="1"/>
    <s v="Sweater"/>
    <n v="30.29"/>
    <s v="Houston"/>
    <n v="1"/>
    <n v="5"/>
    <s v="Repeat"/>
  </r>
  <r>
    <s v="C076"/>
    <d v="2025-12-21T00:00:00"/>
    <x v="7"/>
    <x v="0"/>
    <s v="Shampoo"/>
    <n v="183.74"/>
    <s v="Miami"/>
    <n v="1"/>
    <n v="6"/>
    <s v="Repeat"/>
  </r>
  <r>
    <s v="C017"/>
    <d v="2025-10-31T00:00:00"/>
    <x v="4"/>
    <x v="2"/>
    <s v="Mouse"/>
    <n v="192.96"/>
    <s v="Seattle"/>
    <n v="1"/>
    <n v="6"/>
    <s v="Repeat"/>
  </r>
  <r>
    <s v="C020"/>
    <d v="2025-11-24T00:00:00"/>
    <x v="1"/>
    <x v="1"/>
    <s v="Jacket"/>
    <n v="343.73"/>
    <s v="Miami"/>
    <n v="1"/>
    <n v="5"/>
    <s v="Repeat"/>
  </r>
  <r>
    <s v="C076"/>
    <d v="2025-07-28T00:00:00"/>
    <x v="12"/>
    <x v="2"/>
    <s v="Headphones"/>
    <n v="343.81"/>
    <s v="Los Angeles"/>
    <n v="1"/>
    <n v="6"/>
    <s v="Repeat"/>
  </r>
  <r>
    <s v="C028"/>
    <d v="2026-02-02T00:00:00"/>
    <x v="0"/>
    <x v="0"/>
    <s v="Perfume"/>
    <n v="57.7"/>
    <s v="Chicago"/>
    <n v="1"/>
    <n v="3"/>
    <s v="Repeat"/>
  </r>
  <r>
    <s v="C064"/>
    <d v="2025-06-30T00:00:00"/>
    <x v="9"/>
    <x v="4"/>
    <s v="Lamp"/>
    <n v="385.06"/>
    <s v="Miami"/>
    <n v="1"/>
    <n v="4"/>
    <s v="Repeat"/>
  </r>
  <r>
    <s v="C076"/>
    <d v="2025-10-30T00:00:00"/>
    <x v="4"/>
    <x v="3"/>
    <s v="Tennis Racket"/>
    <n v="276.02999999999997"/>
    <s v="Seattle"/>
    <n v="1"/>
    <n v="6"/>
    <s v="Repeat"/>
  </r>
  <r>
    <s v="C071"/>
    <d v="2025-06-27T00:00:00"/>
    <x v="9"/>
    <x v="2"/>
    <s v="Smartphone"/>
    <n v="314.23"/>
    <s v="Los Angeles"/>
    <n v="1"/>
    <n v="6"/>
    <s v="Repeat"/>
  </r>
  <r>
    <s v="C156"/>
    <d v="2025-10-15T00:00:00"/>
    <x v="4"/>
    <x v="3"/>
    <s v="Dumbbells"/>
    <n v="99.12"/>
    <s v="Chicago"/>
    <n v="1"/>
    <n v="3"/>
    <s v="New"/>
  </r>
  <r>
    <s v="C060"/>
    <d v="2025-08-04T00:00:00"/>
    <x v="5"/>
    <x v="0"/>
    <s v="Lotion"/>
    <n v="345.42"/>
    <s v="Chicago"/>
    <n v="1"/>
    <n v="3"/>
    <s v="Repeat"/>
  </r>
  <r>
    <s v="C027"/>
    <d v="2025-10-22T00:00:00"/>
    <x v="4"/>
    <x v="1"/>
    <s v="Shoes"/>
    <n v="386.54"/>
    <s v="Chicago"/>
    <n v="1"/>
    <n v="2"/>
    <s v="Repeat"/>
  </r>
  <r>
    <s v="C075"/>
    <d v="2025-08-22T00:00:00"/>
    <x v="5"/>
    <x v="3"/>
    <s v="Soccer Ball"/>
    <n v="331.45"/>
    <s v="Chicago"/>
    <n v="1"/>
    <n v="8"/>
    <s v="Repeat"/>
  </r>
  <r>
    <s v="C174"/>
    <d v="2025-06-10T00:00:00"/>
    <x v="9"/>
    <x v="4"/>
    <s v="Microwave"/>
    <n v="387.95"/>
    <s v="Miami"/>
    <n v="1"/>
    <n v="3"/>
    <s v="Repeat"/>
  </r>
  <r>
    <s v="C014"/>
    <d v="2025-03-04T00:00:00"/>
    <x v="3"/>
    <x v="1"/>
    <s v="Shoes"/>
    <n v="37.409999999999997"/>
    <s v="Los Angeles"/>
    <n v="1"/>
    <n v="2"/>
    <s v="New"/>
  </r>
  <r>
    <s v="C066"/>
    <d v="2026-01-16T00:00:00"/>
    <x v="10"/>
    <x v="2"/>
    <s v="Keyboard"/>
    <n v="111.74"/>
    <s v="Los Angeles"/>
    <n v="1"/>
    <n v="2"/>
    <s v="Repeat"/>
  </r>
  <r>
    <s v="C107"/>
    <d v="2025-12-04T00:00:00"/>
    <x v="7"/>
    <x v="2"/>
    <s v="Keyboard"/>
    <n v="56.25"/>
    <s v="Houston"/>
    <n v="1"/>
    <n v="5"/>
    <s v="Repeat"/>
  </r>
  <r>
    <s v="C039"/>
    <d v="2025-10-12T00:00:00"/>
    <x v="4"/>
    <x v="0"/>
    <s v="Lotion"/>
    <n v="431.53"/>
    <s v="Houston"/>
    <n v="1"/>
    <n v="2"/>
    <s v="Repeat"/>
  </r>
  <r>
    <s v="C019"/>
    <d v="2025-05-15T00:00:00"/>
    <x v="2"/>
    <x v="4"/>
    <s v="Blender"/>
    <n v="136.83000000000001"/>
    <s v="Los Angeles"/>
    <n v="1"/>
    <n v="6"/>
    <s v="Repeat"/>
  </r>
  <r>
    <s v="C016"/>
    <d v="2025-05-26T00:00:00"/>
    <x v="2"/>
    <x v="4"/>
    <s v="Microwave"/>
    <n v="226.43"/>
    <s v="Chicago"/>
    <n v="1"/>
    <n v="9"/>
    <s v="Repeat"/>
  </r>
  <r>
    <s v="C196"/>
    <d v="2026-01-05T00:00:00"/>
    <x v="10"/>
    <x v="0"/>
    <s v="Lipstick"/>
    <n v="49.55"/>
    <s v="Los Angeles"/>
    <n v="1"/>
    <n v="5"/>
    <s v="Repeat"/>
  </r>
  <r>
    <s v="C196"/>
    <d v="2025-03-16T00:00:00"/>
    <x v="3"/>
    <x v="1"/>
    <s v="Sweater"/>
    <n v="185.06"/>
    <s v="Chicago"/>
    <n v="1"/>
    <n v="5"/>
    <s v="Repeat"/>
  </r>
  <r>
    <s v="C016"/>
    <d v="2025-11-05T00:00:00"/>
    <x v="1"/>
    <x v="4"/>
    <s v="Chair"/>
    <n v="454.39"/>
    <s v="Boston"/>
    <n v="1"/>
    <n v="9"/>
    <s v="Repeat"/>
  </r>
  <r>
    <s v="C188"/>
    <d v="2026-02-22T00:00:00"/>
    <x v="0"/>
    <x v="4"/>
    <s v="Chair"/>
    <n v="117.25"/>
    <s v="Los Angeles"/>
    <n v="1"/>
    <n v="6"/>
    <s v="Repeat"/>
  </r>
  <r>
    <s v="C104"/>
    <d v="2025-08-01T00:00:00"/>
    <x v="5"/>
    <x v="0"/>
    <s v="Lotion"/>
    <n v="245.19"/>
    <s v="Boston"/>
    <n v="0"/>
    <n v="1"/>
    <s v="New"/>
  </r>
  <r>
    <s v="C181"/>
    <d v="2025-07-12T00:00:00"/>
    <x v="12"/>
    <x v="0"/>
    <s v="Shampoo"/>
    <n v="292.11"/>
    <s v="Houston"/>
    <n v="1"/>
    <n v="3"/>
    <s v="Repeat"/>
  </r>
  <r>
    <s v="C005"/>
    <d v="2025-08-05T00:00:00"/>
    <x v="5"/>
    <x v="2"/>
    <s v="Keyboard"/>
    <n v="432.05"/>
    <s v="Boston"/>
    <n v="1"/>
    <n v="4"/>
    <s v="Repeat"/>
  </r>
  <r>
    <s v="C140"/>
    <d v="2025-09-01T00:00:00"/>
    <x v="11"/>
    <x v="0"/>
    <s v="Shampoo"/>
    <n v="176.97"/>
    <s v="New York"/>
    <n v="1"/>
    <n v="5"/>
    <s v="Repeat"/>
  </r>
  <r>
    <s v="C068"/>
    <d v="2025-09-11T00:00:00"/>
    <x v="11"/>
    <x v="2"/>
    <s v="Smartphone"/>
    <n v="279.60000000000002"/>
    <s v="Miami"/>
    <n v="0"/>
    <n v="1"/>
    <s v="New"/>
  </r>
  <r>
    <s v="C132"/>
    <d v="2025-05-29T00:00:00"/>
    <x v="2"/>
    <x v="2"/>
    <s v="Laptop"/>
    <n v="64.17"/>
    <s v="Los Angeles"/>
    <n v="1"/>
    <n v="4"/>
    <s v="Repeat"/>
  </r>
  <r>
    <s v="C063"/>
    <d v="2025-04-28T00:00:00"/>
    <x v="6"/>
    <x v="3"/>
    <s v="Sneakers"/>
    <n v="254.1"/>
    <s v="Seattle"/>
    <n v="1"/>
    <n v="4"/>
    <s v="Repeat"/>
  </r>
  <r>
    <s v="C101"/>
    <d v="2025-04-11T00:00:00"/>
    <x v="6"/>
    <x v="3"/>
    <s v="Soccer Ball"/>
    <n v="373.18"/>
    <s v="Miami"/>
    <n v="1"/>
    <n v="6"/>
    <s v="Repeat"/>
  </r>
  <r>
    <s v="C057"/>
    <d v="2025-09-25T00:00:00"/>
    <x v="11"/>
    <x v="3"/>
    <s v="Tennis Racket"/>
    <n v="161.63"/>
    <s v="New York"/>
    <n v="1"/>
    <n v="10"/>
    <s v="Repeat"/>
  </r>
  <r>
    <s v="C141"/>
    <d v="2025-04-07T00:00:00"/>
    <x v="6"/>
    <x v="1"/>
    <s v="Sweater"/>
    <n v="82.96"/>
    <s v="Miami"/>
    <n v="1"/>
    <n v="2"/>
    <s v="Repeat"/>
  </r>
  <r>
    <s v="C148"/>
    <d v="2025-04-17T00:00:00"/>
    <x v="6"/>
    <x v="1"/>
    <s v="Jacket"/>
    <n v="210.28"/>
    <s v="Houston"/>
    <n v="1"/>
    <n v="4"/>
    <s v="Repeat"/>
  </r>
  <r>
    <s v="C092"/>
    <d v="2025-11-26T00:00:00"/>
    <x v="1"/>
    <x v="3"/>
    <s v="Dumbbells"/>
    <n v="143.75"/>
    <s v="Chicago"/>
    <n v="1"/>
    <n v="5"/>
    <s v="Repeat"/>
  </r>
  <r>
    <s v="C152"/>
    <d v="2025-11-19T00:00:00"/>
    <x v="1"/>
    <x v="0"/>
    <s v="Perfume"/>
    <n v="426.24"/>
    <s v="Chicago"/>
    <n v="1"/>
    <n v="4"/>
    <s v="Repeat"/>
  </r>
  <r>
    <s v="C195"/>
    <d v="2025-02-25T00:00:00"/>
    <x v="8"/>
    <x v="2"/>
    <s v="Keyboard"/>
    <n v="325.52999999999997"/>
    <s v="Seattle"/>
    <n v="1"/>
    <n v="5"/>
    <s v="Repeat"/>
  </r>
  <r>
    <s v="C139"/>
    <d v="2025-05-04T00:00:00"/>
    <x v="2"/>
    <x v="4"/>
    <s v="Blender"/>
    <n v="237.13"/>
    <s v="Houston"/>
    <n v="1"/>
    <n v="5"/>
    <s v="Repeat"/>
  </r>
  <r>
    <s v="C107"/>
    <d v="2025-03-04T00:00:00"/>
    <x v="3"/>
    <x v="4"/>
    <s v="Blender"/>
    <n v="98.36"/>
    <s v="Seattle"/>
    <n v="1"/>
    <n v="5"/>
    <s v="Repeat"/>
  </r>
  <r>
    <s v="C122"/>
    <d v="2025-06-15T00:00:00"/>
    <x v="9"/>
    <x v="4"/>
    <s v="Lamp"/>
    <n v="353.37"/>
    <s v="New York"/>
    <n v="1"/>
    <n v="5"/>
    <s v="Repeat"/>
  </r>
  <r>
    <s v="C112"/>
    <d v="2026-01-02T00:00:00"/>
    <x v="10"/>
    <x v="3"/>
    <s v="Yoga Mat"/>
    <n v="146.5"/>
    <s v="Miami"/>
    <n v="1"/>
    <n v="6"/>
    <s v="Repeat"/>
  </r>
  <r>
    <s v="C100"/>
    <d v="2025-09-11T00:00:00"/>
    <x v="11"/>
    <x v="3"/>
    <s v="Sneakers"/>
    <n v="103.3"/>
    <s v="Boston"/>
    <n v="1"/>
    <n v="2"/>
    <s v="Repeat"/>
  </r>
  <r>
    <s v="C029"/>
    <d v="2025-04-09T00:00:00"/>
    <x v="6"/>
    <x v="1"/>
    <s v="Jeans"/>
    <n v="32.49"/>
    <s v="Miami"/>
    <n v="1"/>
    <n v="6"/>
    <s v="Repeat"/>
  </r>
  <r>
    <s v="C083"/>
    <d v="2025-04-22T00:00:00"/>
    <x v="6"/>
    <x v="2"/>
    <s v="Keyboard"/>
    <n v="181.88"/>
    <s v="New York"/>
    <n v="1"/>
    <n v="3"/>
    <s v="New"/>
  </r>
  <r>
    <s v="C097"/>
    <d v="2025-06-19T00:00:00"/>
    <x v="9"/>
    <x v="2"/>
    <s v="Mouse"/>
    <n v="412.42"/>
    <s v="New York"/>
    <n v="1"/>
    <n v="2"/>
    <s v="Repeat"/>
  </r>
  <r>
    <s v="C020"/>
    <d v="2026-01-08T00:00:00"/>
    <x v="10"/>
    <x v="3"/>
    <s v="Soccer Ball"/>
    <n v="431.8"/>
    <s v="Houston"/>
    <n v="1"/>
    <n v="5"/>
    <s v="Repeat"/>
  </r>
  <r>
    <s v="C127"/>
    <d v="2025-07-15T00:00:00"/>
    <x v="12"/>
    <x v="4"/>
    <s v="Lamp"/>
    <n v="302.52"/>
    <s v="Chicago"/>
    <n v="1"/>
    <n v="5"/>
    <s v="Repeat"/>
  </r>
  <r>
    <s v="C198"/>
    <d v="2025-06-27T00:00:00"/>
    <x v="9"/>
    <x v="0"/>
    <s v="Lotion"/>
    <n v="443.86"/>
    <s v="Boston"/>
    <n v="1"/>
    <n v="5"/>
    <s v="Repeat"/>
  </r>
  <r>
    <s v="C076"/>
    <d v="2025-11-21T00:00:00"/>
    <x v="1"/>
    <x v="0"/>
    <s v="Perfume"/>
    <n v="142.18"/>
    <s v="Boston"/>
    <n v="1"/>
    <n v="6"/>
    <s v="Repeat"/>
  </r>
  <r>
    <s v="C001"/>
    <d v="2025-11-30T00:00:00"/>
    <x v="1"/>
    <x v="0"/>
    <s v="Shampoo"/>
    <n v="426.57"/>
    <s v="Houston"/>
    <n v="1"/>
    <n v="4"/>
    <s v="Repeat"/>
  </r>
  <r>
    <s v="C153"/>
    <d v="2025-09-18T00:00:00"/>
    <x v="11"/>
    <x v="2"/>
    <s v="Keyboard"/>
    <n v="320.55"/>
    <s v="Miami"/>
    <n v="1"/>
    <n v="3"/>
    <s v="Repeat"/>
  </r>
  <r>
    <s v="C197"/>
    <d v="2025-06-08T00:00:00"/>
    <x v="9"/>
    <x v="0"/>
    <s v="Shampoo"/>
    <n v="452.79"/>
    <s v="Los Angeles"/>
    <n v="1"/>
    <n v="4"/>
    <s v="Repeat"/>
  </r>
  <r>
    <s v="C162"/>
    <d v="2025-06-03T00:00:00"/>
    <x v="9"/>
    <x v="3"/>
    <s v="Sneakers"/>
    <n v="418.22"/>
    <s v="Miami"/>
    <n v="1"/>
    <n v="4"/>
    <s v="Repeat"/>
  </r>
  <r>
    <s v="C059"/>
    <d v="2025-10-02T00:00:00"/>
    <x v="4"/>
    <x v="4"/>
    <s v="Lamp"/>
    <n v="412.55"/>
    <s v="Los Angeles"/>
    <n v="1"/>
    <n v="2"/>
    <s v="New"/>
  </r>
  <r>
    <s v="C016"/>
    <d v="2025-07-27T00:00:00"/>
    <x v="12"/>
    <x v="2"/>
    <s v="Keyboard"/>
    <n v="148.24"/>
    <s v="Miami"/>
    <n v="1"/>
    <n v="9"/>
    <s v="Repeat"/>
  </r>
  <r>
    <s v="C016"/>
    <d v="2025-08-28T00:00:00"/>
    <x v="5"/>
    <x v="3"/>
    <s v="Soccer Ball"/>
    <n v="273.20999999999998"/>
    <s v="Miami"/>
    <n v="1"/>
    <n v="9"/>
    <s v="Repeat"/>
  </r>
  <r>
    <s v="C029"/>
    <d v="2025-10-31T00:00:00"/>
    <x v="4"/>
    <x v="4"/>
    <s v="Blender"/>
    <n v="296.10000000000002"/>
    <s v="Seattle"/>
    <n v="1"/>
    <n v="6"/>
    <s v="Repeat"/>
  </r>
  <r>
    <s v="C061"/>
    <d v="2026-01-24T00:00:00"/>
    <x v="10"/>
    <x v="0"/>
    <s v="Shampoo"/>
    <n v="428.11"/>
    <s v="New York"/>
    <n v="1"/>
    <n v="4"/>
    <s v="Repeat"/>
  </r>
  <r>
    <s v="C111"/>
    <d v="2025-08-14T00:00:00"/>
    <x v="5"/>
    <x v="1"/>
    <s v="Jeans"/>
    <n v="291.07"/>
    <s v="Boston"/>
    <n v="1"/>
    <n v="6"/>
    <s v="Repeat"/>
  </r>
  <r>
    <s v="C155"/>
    <d v="2025-10-25T00:00:00"/>
    <x v="4"/>
    <x v="0"/>
    <s v="Lotion"/>
    <n v="177.42"/>
    <s v="Chicago"/>
    <n v="1"/>
    <n v="3"/>
    <s v="Repeat"/>
  </r>
  <r>
    <s v="C128"/>
    <d v="2025-10-12T00:00:00"/>
    <x v="4"/>
    <x v="2"/>
    <s v="Laptop"/>
    <n v="475.85"/>
    <s v="Seattle"/>
    <n v="1"/>
    <n v="2"/>
    <s v="New"/>
  </r>
  <r>
    <s v="C175"/>
    <d v="2025-04-23T00:00:00"/>
    <x v="6"/>
    <x v="4"/>
    <s v="Chair"/>
    <n v="151.07"/>
    <s v="Houston"/>
    <n v="1"/>
    <n v="3"/>
    <s v="Repeat"/>
  </r>
  <r>
    <s v="C145"/>
    <d v="2025-11-12T00:00:00"/>
    <x v="1"/>
    <x v="1"/>
    <s v="Jeans"/>
    <n v="290.98"/>
    <s v="New York"/>
    <n v="1"/>
    <n v="2"/>
    <s v="Repeat"/>
  </r>
  <r>
    <s v="C087"/>
    <d v="2025-12-17T00:00:00"/>
    <x v="7"/>
    <x v="1"/>
    <s v="Sweater"/>
    <n v="102.81"/>
    <s v="Boston"/>
    <n v="1"/>
    <n v="2"/>
    <s v="New"/>
  </r>
  <r>
    <s v="C069"/>
    <d v="2025-05-10T00:00:00"/>
    <x v="2"/>
    <x v="1"/>
    <s v="Jacket"/>
    <n v="293.63"/>
    <s v="Boston"/>
    <n v="1"/>
    <n v="7"/>
    <s v="Repeat"/>
  </r>
  <r>
    <s v="C065"/>
    <d v="2025-08-18T00:00:00"/>
    <x v="5"/>
    <x v="4"/>
    <s v="Microwave"/>
    <n v="261.89999999999998"/>
    <s v="Seattle"/>
    <n v="1"/>
    <n v="4"/>
    <s v="Repeat"/>
  </r>
  <r>
    <s v="C108"/>
    <d v="2025-12-17T00:00:00"/>
    <x v="7"/>
    <x v="4"/>
    <s v="Lamp"/>
    <n v="342.21"/>
    <s v="Miami"/>
    <n v="1"/>
    <n v="4"/>
    <s v="Repeat"/>
  </r>
  <r>
    <s v="C189"/>
    <d v="2025-04-13T00:00:00"/>
    <x v="6"/>
    <x v="2"/>
    <s v="Laptop"/>
    <n v="298.67"/>
    <s v="Houston"/>
    <n v="1"/>
    <n v="3"/>
    <s v="New"/>
  </r>
  <r>
    <s v="C194"/>
    <d v="2026-01-15T00:00:00"/>
    <x v="10"/>
    <x v="3"/>
    <s v="Sneakers"/>
    <n v="334.28"/>
    <s v="Chicago"/>
    <n v="1"/>
    <n v="7"/>
    <s v="Repeat"/>
  </r>
  <r>
    <s v="C170"/>
    <d v="2025-08-17T00:00:00"/>
    <x v="5"/>
    <x v="0"/>
    <s v="Foundation"/>
    <n v="62.17"/>
    <s v="Seattle"/>
    <n v="1"/>
    <n v="4"/>
    <s v="Repeat"/>
  </r>
  <r>
    <s v="C020"/>
    <d v="2025-06-26T00:00:00"/>
    <x v="9"/>
    <x v="2"/>
    <s v="Laptop"/>
    <n v="484.12"/>
    <s v="Chicago"/>
    <n v="1"/>
    <n v="5"/>
    <s v="Repeat"/>
  </r>
  <r>
    <s v="C102"/>
    <d v="2025-12-11T00:00:00"/>
    <x v="7"/>
    <x v="3"/>
    <s v="Dumbbells"/>
    <n v="205.27"/>
    <s v="Boston"/>
    <n v="1"/>
    <n v="5"/>
    <s v="Repeat"/>
  </r>
  <r>
    <s v="C073"/>
    <d v="2025-04-25T00:00:00"/>
    <x v="6"/>
    <x v="4"/>
    <s v="Microwave"/>
    <n v="307.76"/>
    <s v="New York"/>
    <n v="1"/>
    <n v="5"/>
    <s v="Repeat"/>
  </r>
  <r>
    <s v="C059"/>
    <d v="2025-08-14T00:00:00"/>
    <x v="5"/>
    <x v="4"/>
    <s v="Chair"/>
    <n v="81.64"/>
    <s v="Los Angeles"/>
    <n v="1"/>
    <n v="2"/>
    <s v="Repeat"/>
  </r>
  <r>
    <s v="C189"/>
    <d v="2025-11-08T00:00:00"/>
    <x v="1"/>
    <x v="2"/>
    <s v="Mouse"/>
    <n v="429.97"/>
    <s v="Boston"/>
    <n v="1"/>
    <n v="3"/>
    <s v="Repeat"/>
  </r>
  <r>
    <s v="C025"/>
    <d v="2026-01-03T00:00:00"/>
    <x v="10"/>
    <x v="0"/>
    <s v="Shampoo"/>
    <n v="190.25"/>
    <s v="Seattle"/>
    <n v="1"/>
    <n v="6"/>
    <s v="Repeat"/>
  </r>
  <r>
    <s v="C003"/>
    <d v="2025-11-04T00:00:00"/>
    <x v="1"/>
    <x v="3"/>
    <s v="Dumbbells"/>
    <n v="389.73"/>
    <s v="Los Angeles"/>
    <n v="1"/>
    <n v="5"/>
    <s v="Repeat"/>
  </r>
  <r>
    <s v="C180"/>
    <d v="2025-03-28T00:00:00"/>
    <x v="3"/>
    <x v="0"/>
    <s v="Shampoo"/>
    <n v="83.06"/>
    <s v="Miami"/>
    <n v="1"/>
    <n v="6"/>
    <s v="Repeat"/>
  </r>
  <r>
    <s v="C028"/>
    <d v="2026-01-13T00:00:00"/>
    <x v="10"/>
    <x v="1"/>
    <s v="T-shirt"/>
    <n v="242.37"/>
    <s v="New York"/>
    <n v="1"/>
    <n v="3"/>
    <s v="Repeat"/>
  </r>
  <r>
    <s v="C196"/>
    <d v="2025-07-08T00:00:00"/>
    <x v="12"/>
    <x v="0"/>
    <s v="Perfume"/>
    <n v="134.13999999999999"/>
    <s v="Miami"/>
    <n v="1"/>
    <n v="5"/>
    <s v="Repeat"/>
  </r>
  <r>
    <s v="C049"/>
    <d v="2025-07-26T00:00:00"/>
    <x v="12"/>
    <x v="2"/>
    <s v="Headphones"/>
    <n v="52.12"/>
    <s v="Miami"/>
    <n v="1"/>
    <n v="4"/>
    <s v="Repeat"/>
  </r>
  <r>
    <s v="C164"/>
    <d v="2025-08-27T00:00:00"/>
    <x v="5"/>
    <x v="2"/>
    <s v="Headphones"/>
    <n v="486.88"/>
    <s v="Los Angeles"/>
    <n v="1"/>
    <n v="5"/>
    <s v="Repeat"/>
  </r>
  <r>
    <s v="C118"/>
    <d v="2025-06-19T00:00:00"/>
    <x v="9"/>
    <x v="2"/>
    <s v="Keyboard"/>
    <n v="48.18"/>
    <s v="Los Angeles"/>
    <n v="1"/>
    <n v="5"/>
    <s v="Repeat"/>
  </r>
  <r>
    <s v="C188"/>
    <d v="2025-10-09T00:00:00"/>
    <x v="4"/>
    <x v="1"/>
    <s v="Jeans"/>
    <n v="255.94"/>
    <s v="Miami"/>
    <n v="1"/>
    <n v="6"/>
    <s v="Repeat"/>
  </r>
  <r>
    <s v="C108"/>
    <d v="2026-01-15T00:00:00"/>
    <x v="10"/>
    <x v="1"/>
    <s v="Jacket"/>
    <n v="44.3"/>
    <s v="Los Angeles"/>
    <n v="1"/>
    <n v="4"/>
    <s v="Repeat"/>
  </r>
  <r>
    <s v="C016"/>
    <d v="2025-06-14T00:00:00"/>
    <x v="9"/>
    <x v="1"/>
    <s v="Jacket"/>
    <n v="146.19999999999999"/>
    <s v="Seattle"/>
    <n v="1"/>
    <n v="9"/>
    <s v="Repeat"/>
  </r>
  <r>
    <s v="C081"/>
    <d v="2025-02-22T00:00:00"/>
    <x v="8"/>
    <x v="3"/>
    <s v="Tennis Racket"/>
    <n v="45.53"/>
    <s v="New York"/>
    <n v="1"/>
    <n v="4"/>
    <s v="Repeat"/>
  </r>
  <r>
    <s v="C199"/>
    <d v="2025-10-11T00:00:00"/>
    <x v="4"/>
    <x v="1"/>
    <s v="Shoes"/>
    <n v="494.33"/>
    <s v="New York"/>
    <n v="1"/>
    <n v="7"/>
    <s v="Repeat"/>
  </r>
  <r>
    <s v="C179"/>
    <d v="2025-04-05T00:00:00"/>
    <x v="6"/>
    <x v="0"/>
    <s v="Lotion"/>
    <n v="122.44"/>
    <s v="Los Angeles"/>
    <n v="1"/>
    <n v="3"/>
    <s v="Repeat"/>
  </r>
  <r>
    <s v="C018"/>
    <d v="2025-11-09T00:00:00"/>
    <x v="1"/>
    <x v="2"/>
    <s v="Headphones"/>
    <n v="79.13"/>
    <s v="New York"/>
    <n v="1"/>
    <n v="6"/>
    <s v="Repeat"/>
  </r>
  <r>
    <s v="C025"/>
    <d v="2025-05-20T00:00:00"/>
    <x v="2"/>
    <x v="4"/>
    <s v="Chair"/>
    <n v="490.64"/>
    <s v="Chicago"/>
    <n v="1"/>
    <n v="6"/>
    <s v="Repeat"/>
  </r>
  <r>
    <s v="C148"/>
    <d v="2025-09-11T00:00:00"/>
    <x v="11"/>
    <x v="3"/>
    <s v="Tennis Racket"/>
    <n v="343.55"/>
    <s v="Seattle"/>
    <n v="1"/>
    <n v="4"/>
    <s v="Repeat"/>
  </r>
  <r>
    <s v="C109"/>
    <d v="2025-08-01T00:00:00"/>
    <x v="5"/>
    <x v="0"/>
    <s v="Perfume"/>
    <n v="490.34"/>
    <s v="Seattle"/>
    <n v="1"/>
    <n v="4"/>
    <s v="Repeat"/>
  </r>
  <r>
    <s v="C012"/>
    <d v="2026-02-09T00:00:00"/>
    <x v="0"/>
    <x v="0"/>
    <s v="Shampoo"/>
    <n v="180.9"/>
    <s v="Boston"/>
    <n v="1"/>
    <n v="4"/>
    <s v="Repeat"/>
  </r>
  <r>
    <s v="C047"/>
    <d v="2025-09-19T00:00:00"/>
    <x v="11"/>
    <x v="0"/>
    <s v="Lotion"/>
    <n v="122.19"/>
    <s v="New York"/>
    <n v="1"/>
    <n v="3"/>
    <s v="Repeat"/>
  </r>
  <r>
    <s v="C111"/>
    <d v="2025-12-17T00:00:00"/>
    <x v="7"/>
    <x v="1"/>
    <s v="Jeans"/>
    <n v="389.91"/>
    <s v="Houston"/>
    <n v="1"/>
    <n v="6"/>
    <s v="Repeat"/>
  </r>
  <r>
    <s v="C078"/>
    <d v="2025-04-02T00:00:00"/>
    <x v="6"/>
    <x v="2"/>
    <s v="Headphones"/>
    <n v="38.99"/>
    <s v="Seattle"/>
    <n v="1"/>
    <n v="5"/>
    <s v="Repeat"/>
  </r>
  <r>
    <s v="C005"/>
    <d v="2025-06-22T00:00:00"/>
    <x v="9"/>
    <x v="1"/>
    <s v="Shoes"/>
    <n v="182.26"/>
    <s v="Chicago"/>
    <n v="1"/>
    <n v="4"/>
    <s v="Repeat"/>
  </r>
  <r>
    <s v="C197"/>
    <d v="2025-08-14T00:00:00"/>
    <x v="5"/>
    <x v="1"/>
    <s v="Jacket"/>
    <n v="124.84"/>
    <s v="Houston"/>
    <n v="1"/>
    <n v="4"/>
    <s v="Repeat"/>
  </r>
  <r>
    <s v="C108"/>
    <d v="2025-04-13T00:00:00"/>
    <x v="6"/>
    <x v="2"/>
    <s v="Smartphone"/>
    <n v="40.92"/>
    <s v="Seattle"/>
    <n v="1"/>
    <n v="4"/>
    <s v="Repeat"/>
  </r>
  <r>
    <s v="C017"/>
    <d v="2025-04-23T00:00:00"/>
    <x v="6"/>
    <x v="2"/>
    <s v="Laptop"/>
    <n v="311.41000000000003"/>
    <s v="Seattle"/>
    <n v="1"/>
    <n v="6"/>
    <s v="Repeat"/>
  </r>
  <r>
    <s v="C130"/>
    <d v="2025-10-02T00:00:00"/>
    <x v="4"/>
    <x v="4"/>
    <s v="Blender"/>
    <n v="180.61"/>
    <s v="Boston"/>
    <n v="1"/>
    <n v="5"/>
    <s v="Repeat"/>
  </r>
  <r>
    <s v="C186"/>
    <d v="2025-03-31T00:00:00"/>
    <x v="3"/>
    <x v="3"/>
    <s v="Dumbbells"/>
    <n v="168.14"/>
    <s v="Los Angeles"/>
    <n v="1"/>
    <n v="3"/>
    <s v="Repeat"/>
  </r>
  <r>
    <s v="C095"/>
    <d v="2026-01-18T00:00:00"/>
    <x v="10"/>
    <x v="4"/>
    <s v="Toaster"/>
    <n v="283.36"/>
    <s v="Los Angeles"/>
    <n v="1"/>
    <n v="2"/>
    <s v="Repeat"/>
  </r>
  <r>
    <s v="C077"/>
    <d v="2025-12-31T00:00:00"/>
    <x v="7"/>
    <x v="4"/>
    <s v="Microwave"/>
    <n v="433.24"/>
    <s v="New York"/>
    <n v="1"/>
    <n v="3"/>
    <s v="Repeat"/>
  </r>
  <r>
    <s v="C053"/>
    <d v="2025-09-09T00:00:00"/>
    <x v="11"/>
    <x v="2"/>
    <s v="Keyboard"/>
    <n v="452.64"/>
    <s v="New York"/>
    <n v="1"/>
    <n v="3"/>
    <s v="New"/>
  </r>
  <r>
    <s v="C130"/>
    <d v="2026-01-12T00:00:00"/>
    <x v="10"/>
    <x v="2"/>
    <s v="Smartphone"/>
    <n v="253.4"/>
    <s v="Los Angeles"/>
    <n v="1"/>
    <n v="5"/>
    <s v="Repeat"/>
  </r>
  <r>
    <s v="C047"/>
    <d v="2026-01-09T00:00:00"/>
    <x v="10"/>
    <x v="1"/>
    <s v="Jeans"/>
    <n v="239.98"/>
    <s v="Boston"/>
    <n v="1"/>
    <n v="3"/>
    <s v="Repeat"/>
  </r>
  <r>
    <s v="C156"/>
    <d v="2025-04-17T00:00:00"/>
    <x v="6"/>
    <x v="3"/>
    <s v="Dumbbells"/>
    <n v="165.97"/>
    <s v="Seattle"/>
    <n v="1"/>
    <n v="3"/>
    <s v="Repeat"/>
  </r>
  <r>
    <s v="C150"/>
    <d v="2025-12-24T00:00:00"/>
    <x v="7"/>
    <x v="4"/>
    <s v="Microwave"/>
    <n v="148.46"/>
    <s v="Seattle"/>
    <n v="1"/>
    <n v="3"/>
    <s v="Repeat"/>
  </r>
  <r>
    <s v="C151"/>
    <d v="2025-10-03T00:00:00"/>
    <x v="4"/>
    <x v="1"/>
    <s v="Jacket"/>
    <n v="105.4"/>
    <s v="Miami"/>
    <n v="0"/>
    <n v="1"/>
    <s v="New"/>
  </r>
  <r>
    <s v="C115"/>
    <d v="2025-07-20T00:00:00"/>
    <x v="12"/>
    <x v="2"/>
    <s v="Laptop"/>
    <n v="187.66"/>
    <s v="Houston"/>
    <n v="1"/>
    <n v="2"/>
    <s v="Repeat"/>
  </r>
  <r>
    <s v="C198"/>
    <d v="2025-08-02T00:00:00"/>
    <x v="5"/>
    <x v="3"/>
    <s v="Tennis Racket"/>
    <n v="133.41999999999999"/>
    <s v="Houston"/>
    <n v="1"/>
    <n v="5"/>
    <s v="Repeat"/>
  </r>
  <r>
    <s v="C183"/>
    <d v="2026-01-23T00:00:00"/>
    <x v="10"/>
    <x v="4"/>
    <s v="Microwave"/>
    <n v="137.66999999999999"/>
    <s v="Los Angeles"/>
    <n v="1"/>
    <n v="9"/>
    <s v="Repeat"/>
  </r>
  <r>
    <s v="C159"/>
    <d v="2025-06-23T00:00:00"/>
    <x v="9"/>
    <x v="4"/>
    <s v="Lamp"/>
    <n v="123.55"/>
    <s v="Miami"/>
    <n v="1"/>
    <n v="5"/>
    <s v="Repeat"/>
  </r>
  <r>
    <s v="C188"/>
    <d v="2025-12-19T00:00:00"/>
    <x v="7"/>
    <x v="4"/>
    <s v="Blender"/>
    <n v="195.7"/>
    <s v="Seattle"/>
    <n v="1"/>
    <n v="6"/>
    <s v="Repeat"/>
  </r>
  <r>
    <s v="C042"/>
    <d v="2025-07-17T00:00:00"/>
    <x v="12"/>
    <x v="2"/>
    <s v="Laptop"/>
    <n v="438.28"/>
    <s v="Miami"/>
    <n v="1"/>
    <n v="3"/>
    <s v="Repeat"/>
  </r>
  <r>
    <s v="C138"/>
    <d v="2025-10-03T00:00:00"/>
    <x v="4"/>
    <x v="3"/>
    <s v="Soccer Ball"/>
    <n v="92.46"/>
    <s v="New York"/>
    <n v="1"/>
    <n v="4"/>
    <s v="Repeat"/>
  </r>
  <r>
    <s v="C179"/>
    <d v="2025-11-03T00:00:00"/>
    <x v="1"/>
    <x v="2"/>
    <s v="Laptop"/>
    <n v="342.83"/>
    <s v="New York"/>
    <n v="1"/>
    <n v="3"/>
    <s v="Repeat"/>
  </r>
  <r>
    <s v="C029"/>
    <d v="2025-07-19T00:00:00"/>
    <x v="12"/>
    <x v="1"/>
    <s v="T-shirt"/>
    <n v="314.33999999999997"/>
    <s v="Chicago"/>
    <n v="1"/>
    <n v="6"/>
    <s v="Repeat"/>
  </r>
  <r>
    <s v="C137"/>
    <d v="2025-08-08T00:00:00"/>
    <x v="5"/>
    <x v="3"/>
    <s v="Soccer Ball"/>
    <n v="208.92"/>
    <s v="Seattle"/>
    <n v="1"/>
    <n v="5"/>
    <s v="Repeat"/>
  </r>
  <r>
    <s v="C090"/>
    <d v="2025-03-27T00:00:00"/>
    <x v="3"/>
    <x v="2"/>
    <s v="Smartphone"/>
    <n v="97.16"/>
    <s v="New York"/>
    <n v="0"/>
    <n v="1"/>
    <s v="New"/>
  </r>
  <r>
    <s v="C189"/>
    <d v="2026-01-01T00:00:00"/>
    <x v="10"/>
    <x v="2"/>
    <s v="Headphones"/>
    <n v="121.61"/>
    <s v="Los Angeles"/>
    <n v="1"/>
    <n v="3"/>
    <s v="Repeat"/>
  </r>
  <r>
    <s v="C011"/>
    <d v="2025-06-17T00:00:00"/>
    <x v="9"/>
    <x v="2"/>
    <s v="Keyboard"/>
    <n v="384.81"/>
    <s v="Miami"/>
    <n v="0"/>
    <n v="1"/>
    <s v="New"/>
  </r>
  <r>
    <s v="C033"/>
    <d v="2025-12-16T00:00:00"/>
    <x v="7"/>
    <x v="3"/>
    <s v="Tennis Racket"/>
    <n v="75.33"/>
    <s v="Chicago"/>
    <n v="1"/>
    <n v="5"/>
    <s v="Repeat"/>
  </r>
  <r>
    <s v="C134"/>
    <d v="2026-02-21T00:00:00"/>
    <x v="0"/>
    <x v="0"/>
    <s v="Foundation"/>
    <n v="186.49"/>
    <s v="Seattle"/>
    <n v="1"/>
    <n v="6"/>
    <s v="Repeat"/>
  </r>
  <r>
    <s v="C043"/>
    <d v="2025-05-16T00:00:00"/>
    <x v="2"/>
    <x v="3"/>
    <s v="Yoga Mat"/>
    <n v="298.33"/>
    <s v="Seattle"/>
    <n v="1"/>
    <n v="6"/>
    <s v="Repeat"/>
  </r>
  <r>
    <s v="C048"/>
    <d v="2026-01-14T00:00:00"/>
    <x v="10"/>
    <x v="3"/>
    <s v="Soccer Ball"/>
    <n v="239.15"/>
    <s v="Houston"/>
    <n v="1"/>
    <n v="2"/>
    <s v="Repeat"/>
  </r>
  <r>
    <s v="C016"/>
    <d v="2025-09-06T00:00:00"/>
    <x v="11"/>
    <x v="4"/>
    <s v="Chair"/>
    <n v="47.86"/>
    <s v="Los Angeles"/>
    <n v="1"/>
    <n v="9"/>
    <s v="Repeat"/>
  </r>
  <r>
    <s v="C110"/>
    <d v="2025-03-24T00:00:00"/>
    <x v="3"/>
    <x v="1"/>
    <s v="Jacket"/>
    <n v="439.5"/>
    <s v="Seattle"/>
    <n v="1"/>
    <n v="3"/>
    <s v="Repeat"/>
  </r>
  <r>
    <s v="C107"/>
    <d v="2025-11-30T00:00:00"/>
    <x v="1"/>
    <x v="3"/>
    <s v="Tennis Racket"/>
    <n v="384.52"/>
    <s v="Miami"/>
    <n v="1"/>
    <n v="5"/>
    <s v="Repeat"/>
  </r>
  <r>
    <s v="C013"/>
    <d v="2025-08-29T00:00:00"/>
    <x v="5"/>
    <x v="3"/>
    <s v="Dumbbells"/>
    <n v="297.08999999999997"/>
    <s v="Miami"/>
    <n v="0"/>
    <n v="1"/>
    <s v="New"/>
  </r>
  <r>
    <s v="C087"/>
    <d v="2025-05-24T00:00:00"/>
    <x v="2"/>
    <x v="2"/>
    <s v="Headphones"/>
    <n v="313.3"/>
    <s v="Miami"/>
    <n v="1"/>
    <n v="2"/>
    <s v="Repeat"/>
  </r>
  <r>
    <s v="C113"/>
    <d v="2025-11-16T00:00:00"/>
    <x v="1"/>
    <x v="3"/>
    <s v="Soccer Ball"/>
    <n v="242.85"/>
    <s v="Boston"/>
    <n v="1"/>
    <n v="5"/>
    <s v="Repeat"/>
  </r>
  <r>
    <s v="C062"/>
    <d v="2025-06-24T00:00:00"/>
    <x v="9"/>
    <x v="3"/>
    <s v="Yoga Mat"/>
    <n v="48.51"/>
    <s v="Boston"/>
    <n v="1"/>
    <n v="3"/>
    <s v="Repeat"/>
  </r>
  <r>
    <s v="C056"/>
    <d v="2026-01-06T00:00:00"/>
    <x v="10"/>
    <x v="1"/>
    <s v="Sweater"/>
    <n v="199.15"/>
    <s v="Chicago"/>
    <n v="1"/>
    <n v="3"/>
    <s v="Repeat"/>
  </r>
  <r>
    <s v="C031"/>
    <d v="2025-06-14T00:00:00"/>
    <x v="9"/>
    <x v="2"/>
    <s v="Headphones"/>
    <n v="361.84"/>
    <s v="Miami"/>
    <n v="1"/>
    <n v="5"/>
    <s v="Repeat"/>
  </r>
  <r>
    <s v="C139"/>
    <d v="2025-08-30T00:00:00"/>
    <x v="5"/>
    <x v="3"/>
    <s v="Tennis Racket"/>
    <n v="394.33"/>
    <s v="Boston"/>
    <n v="1"/>
    <n v="5"/>
    <s v="Repeat"/>
  </r>
  <r>
    <s v="C072"/>
    <d v="2025-12-16T00:00:00"/>
    <x v="7"/>
    <x v="0"/>
    <s v="Foundation"/>
    <n v="110.75"/>
    <s v="Miami"/>
    <n v="1"/>
    <n v="4"/>
    <s v="Repeat"/>
  </r>
  <r>
    <s v="C024"/>
    <d v="2025-08-10T00:00:00"/>
    <x v="5"/>
    <x v="0"/>
    <s v="Shampoo"/>
    <n v="242.09"/>
    <s v="Seattle"/>
    <n v="1"/>
    <n v="3"/>
    <s v="Repeat"/>
  </r>
  <r>
    <s v="C079"/>
    <d v="2025-11-21T00:00:00"/>
    <x v="1"/>
    <x v="3"/>
    <s v="Tennis Racket"/>
    <n v="412.34"/>
    <s v="Houston"/>
    <n v="1"/>
    <n v="3"/>
    <s v="Repeat"/>
  </r>
  <r>
    <s v="C126"/>
    <d v="2025-10-14T00:00:00"/>
    <x v="4"/>
    <x v="2"/>
    <s v="Laptop"/>
    <n v="86.35"/>
    <s v="Seattle"/>
    <n v="1"/>
    <n v="2"/>
    <s v="Repeat"/>
  </r>
  <r>
    <s v="C114"/>
    <d v="2025-07-14T00:00:00"/>
    <x v="12"/>
    <x v="2"/>
    <s v="Headphones"/>
    <n v="450.74"/>
    <s v="Boston"/>
    <n v="1"/>
    <n v="4"/>
    <s v="Repeat"/>
  </r>
  <r>
    <s v="C142"/>
    <d v="2025-08-21T00:00:00"/>
    <x v="5"/>
    <x v="1"/>
    <s v="Jacket"/>
    <n v="298.17"/>
    <s v="Miami"/>
    <n v="1"/>
    <n v="6"/>
    <s v="Repeat"/>
  </r>
  <r>
    <s v="C053"/>
    <d v="2025-12-18T00:00:00"/>
    <x v="7"/>
    <x v="0"/>
    <s v="Lotion"/>
    <n v="265.3"/>
    <s v="Miami"/>
    <n v="1"/>
    <n v="3"/>
    <s v="Repeat"/>
  </r>
  <r>
    <s v="C134"/>
    <d v="2025-05-08T00:00:00"/>
    <x v="2"/>
    <x v="1"/>
    <s v="Jeans"/>
    <n v="385.86"/>
    <s v="New York"/>
    <n v="1"/>
    <n v="6"/>
    <s v="Repeat"/>
  </r>
  <r>
    <s v="C069"/>
    <d v="2025-12-03T00:00:00"/>
    <x v="7"/>
    <x v="0"/>
    <s v="Perfume"/>
    <n v="349.05"/>
    <s v="Miami"/>
    <n v="1"/>
    <n v="7"/>
    <s v="Repeat"/>
  </r>
  <r>
    <s v="C091"/>
    <d v="2025-09-18T00:00:00"/>
    <x v="11"/>
    <x v="0"/>
    <s v="Lipstick"/>
    <n v="203.76"/>
    <s v="Miami"/>
    <n v="1"/>
    <n v="5"/>
    <s v="Repeat"/>
  </r>
  <r>
    <s v="C195"/>
    <d v="2025-11-24T00:00:00"/>
    <x v="1"/>
    <x v="4"/>
    <s v="Microwave"/>
    <n v="251.5"/>
    <s v="Miami"/>
    <n v="1"/>
    <n v="5"/>
    <s v="Repeat"/>
  </r>
  <r>
    <s v="C031"/>
    <d v="2025-05-26T00:00:00"/>
    <x v="2"/>
    <x v="2"/>
    <s v="Smartphone"/>
    <n v="191.68"/>
    <s v="Los Angeles"/>
    <n v="1"/>
    <n v="5"/>
    <s v="Repeat"/>
  </r>
  <r>
    <s v="C150"/>
    <d v="2025-08-13T00:00:00"/>
    <x v="5"/>
    <x v="3"/>
    <s v="Yoga Mat"/>
    <n v="234.57"/>
    <s v="New York"/>
    <n v="1"/>
    <n v="3"/>
    <s v="Repeat"/>
  </r>
  <r>
    <s v="C118"/>
    <d v="2025-11-01T00:00:00"/>
    <x v="1"/>
    <x v="4"/>
    <s v="Microwave"/>
    <n v="202.75"/>
    <s v="Houston"/>
    <n v="1"/>
    <n v="5"/>
    <s v="Repeat"/>
  </r>
  <r>
    <s v="C164"/>
    <d v="2025-07-20T00:00:00"/>
    <x v="12"/>
    <x v="3"/>
    <s v="Yoga Mat"/>
    <n v="51.95"/>
    <s v="New York"/>
    <n v="1"/>
    <n v="5"/>
    <s v="Repeat"/>
  </r>
  <r>
    <s v="C160"/>
    <d v="2025-03-21T00:00:00"/>
    <x v="3"/>
    <x v="1"/>
    <s v="T-shirt"/>
    <n v="38.28"/>
    <s v="Seattle"/>
    <n v="1"/>
    <n v="2"/>
    <s v="Repeat"/>
  </r>
  <r>
    <s v="C181"/>
    <d v="2026-01-03T00:00:00"/>
    <x v="10"/>
    <x v="1"/>
    <s v="Sweater"/>
    <n v="467.36"/>
    <s v="Chicago"/>
    <n v="1"/>
    <n v="3"/>
    <s v="Repeat"/>
  </r>
  <r>
    <s v="C113"/>
    <d v="2026-01-10T00:00:00"/>
    <x v="10"/>
    <x v="3"/>
    <s v="Tennis Racket"/>
    <n v="440.66"/>
    <s v="Boston"/>
    <n v="1"/>
    <n v="5"/>
    <s v="Repeat"/>
  </r>
  <r>
    <s v="C117"/>
    <d v="2026-01-30T00:00:00"/>
    <x v="10"/>
    <x v="1"/>
    <s v="Jacket"/>
    <n v="95.84"/>
    <s v="New York"/>
    <n v="1"/>
    <n v="5"/>
    <s v="Repeat"/>
  </r>
  <r>
    <s v="C114"/>
    <d v="2025-12-24T00:00:00"/>
    <x v="7"/>
    <x v="1"/>
    <s v="Jeans"/>
    <n v="231.69"/>
    <s v="Houston"/>
    <n v="1"/>
    <n v="4"/>
    <s v="Repeat"/>
  </r>
  <r>
    <s v="C116"/>
    <d v="2025-06-15T00:00:00"/>
    <x v="9"/>
    <x v="3"/>
    <s v="Soccer Ball"/>
    <n v="20.92"/>
    <s v="New York"/>
    <n v="1"/>
    <n v="2"/>
    <s v="Repeat"/>
  </r>
  <r>
    <s v="C003"/>
    <d v="2025-03-12T00:00:00"/>
    <x v="3"/>
    <x v="3"/>
    <s v="Sneakers"/>
    <n v="342.08"/>
    <s v="Houston"/>
    <n v="1"/>
    <n v="5"/>
    <s v="Repeat"/>
  </r>
  <r>
    <s v="C096"/>
    <d v="2025-10-27T00:00:00"/>
    <x v="4"/>
    <x v="2"/>
    <s v="Keyboard"/>
    <n v="412.36"/>
    <s v="Houston"/>
    <n v="1"/>
    <n v="2"/>
    <s v="New"/>
  </r>
  <r>
    <s v="C082"/>
    <d v="2025-07-24T00:00:00"/>
    <x v="12"/>
    <x v="1"/>
    <s v="Shoes"/>
    <n v="338.64"/>
    <s v="Boston"/>
    <n v="1"/>
    <n v="6"/>
    <s v="Repeat"/>
  </r>
  <r>
    <s v="C155"/>
    <d v="2025-09-24T00:00:00"/>
    <x v="11"/>
    <x v="1"/>
    <s v="Jeans"/>
    <n v="183.08"/>
    <s v="Miami"/>
    <n v="1"/>
    <n v="3"/>
    <s v="Repeat"/>
  </r>
  <r>
    <s v="C061"/>
    <d v="2026-02-08T00:00:00"/>
    <x v="0"/>
    <x v="0"/>
    <s v="Foundation"/>
    <n v="227.41"/>
    <s v="Boston"/>
    <n v="1"/>
    <n v="4"/>
    <s v="Repeat"/>
  </r>
  <r>
    <s v="C103"/>
    <d v="2025-10-07T00:00:00"/>
    <x v="4"/>
    <x v="4"/>
    <s v="Toaster"/>
    <n v="499.57"/>
    <s v="New York"/>
    <n v="1"/>
    <n v="3"/>
    <s v="Repeat"/>
  </r>
  <r>
    <s v="C156"/>
    <d v="2025-03-17T00:00:00"/>
    <x v="3"/>
    <x v="2"/>
    <s v="Laptop"/>
    <n v="103.68"/>
    <s v="New York"/>
    <n v="1"/>
    <n v="3"/>
    <s v="Repeat"/>
  </r>
  <r>
    <s v="C072"/>
    <d v="2025-09-20T00:00:00"/>
    <x v="11"/>
    <x v="2"/>
    <s v="Mouse"/>
    <n v="453.76"/>
    <s v="Houston"/>
    <n v="1"/>
    <n v="4"/>
    <s v="Repeat"/>
  </r>
  <r>
    <s v="C084"/>
    <d v="2025-04-02T00:00:00"/>
    <x v="6"/>
    <x v="4"/>
    <s v="Chair"/>
    <n v="484.75"/>
    <s v="Boston"/>
    <n v="1"/>
    <n v="5"/>
    <s v="Repeat"/>
  </r>
  <r>
    <s v="C075"/>
    <d v="2025-07-04T00:00:00"/>
    <x v="12"/>
    <x v="1"/>
    <s v="Sweater"/>
    <n v="444.11"/>
    <s v="Seattle"/>
    <n v="1"/>
    <n v="8"/>
    <s v="Repeat"/>
  </r>
  <r>
    <s v="C186"/>
    <d v="2025-02-27T00:00:00"/>
    <x v="8"/>
    <x v="1"/>
    <s v="Shoes"/>
    <n v="68.900000000000006"/>
    <s v="New York"/>
    <n v="1"/>
    <n v="3"/>
    <s v="Repeat"/>
  </r>
  <r>
    <s v="C134"/>
    <d v="2025-11-09T00:00:00"/>
    <x v="1"/>
    <x v="0"/>
    <s v="Lipstick"/>
    <n v="317.32"/>
    <s v="Houston"/>
    <n v="1"/>
    <n v="6"/>
    <s v="Repeat"/>
  </r>
  <r>
    <s v="C132"/>
    <d v="2025-09-23T00:00:00"/>
    <x v="11"/>
    <x v="4"/>
    <s v="Microwave"/>
    <n v="415.86"/>
    <s v="Los Angeles"/>
    <n v="1"/>
    <n v="4"/>
    <s v="Repeat"/>
  </r>
  <r>
    <s v="C057"/>
    <d v="2025-03-29T00:00:00"/>
    <x v="3"/>
    <x v="1"/>
    <s v="T-shirt"/>
    <n v="118.71"/>
    <s v="Miami"/>
    <n v="1"/>
    <n v="10"/>
    <s v="Repeat"/>
  </r>
  <r>
    <s v="C018"/>
    <d v="2025-08-21T00:00:00"/>
    <x v="5"/>
    <x v="4"/>
    <s v="Blender"/>
    <n v="248.25"/>
    <s v="Chicago"/>
    <n v="1"/>
    <n v="6"/>
    <s v="Repeat"/>
  </r>
  <r>
    <s v="C101"/>
    <d v="2026-02-02T00:00:00"/>
    <x v="0"/>
    <x v="1"/>
    <s v="Shoes"/>
    <n v="38.119999999999997"/>
    <s v="Miami"/>
    <n v="1"/>
    <n v="6"/>
    <s v="Repeat"/>
  </r>
  <r>
    <s v="C070"/>
    <d v="2025-08-14T00:00:00"/>
    <x v="5"/>
    <x v="3"/>
    <s v="Yoga Mat"/>
    <n v="402.5"/>
    <s v="Houston"/>
    <n v="1"/>
    <n v="4"/>
    <s v="Repeat"/>
  </r>
  <r>
    <s v="C159"/>
    <d v="2025-08-06T00:00:00"/>
    <x v="5"/>
    <x v="0"/>
    <s v="Shampoo"/>
    <n v="156.04"/>
    <s v="New York"/>
    <n v="1"/>
    <n v="5"/>
    <s v="Repeat"/>
  </r>
  <r>
    <s v="C008"/>
    <d v="2025-02-27T00:00:00"/>
    <x v="8"/>
    <x v="4"/>
    <s v="Chair"/>
    <n v="426.61"/>
    <s v="Miami"/>
    <n v="1"/>
    <n v="4"/>
    <s v="Repeat"/>
  </r>
  <r>
    <s v="C086"/>
    <d v="2025-12-17T00:00:00"/>
    <x v="7"/>
    <x v="4"/>
    <s v="Microwave"/>
    <n v="159.81"/>
    <s v="Chicago"/>
    <n v="1"/>
    <n v="4"/>
    <s v="Repeat"/>
  </r>
  <r>
    <s v="C061"/>
    <d v="2025-06-10T00:00:00"/>
    <x v="9"/>
    <x v="4"/>
    <s v="Chair"/>
    <n v="254.17"/>
    <s v="Los Angeles"/>
    <n v="1"/>
    <n v="4"/>
    <s v="Repeat"/>
  </r>
  <r>
    <s v="C180"/>
    <d v="2025-06-22T00:00:00"/>
    <x v="9"/>
    <x v="0"/>
    <s v="Lotion"/>
    <n v="200.97"/>
    <s v="Miami"/>
    <n v="1"/>
    <n v="6"/>
    <s v="Repeat"/>
  </r>
  <r>
    <s v="C040"/>
    <d v="2025-11-21T00:00:00"/>
    <x v="1"/>
    <x v="2"/>
    <s v="Headphones"/>
    <n v="307.49"/>
    <s v="Miami"/>
    <n v="1"/>
    <n v="4"/>
    <s v="Repeat"/>
  </r>
  <r>
    <s v="C114"/>
    <d v="2025-08-14T00:00:00"/>
    <x v="5"/>
    <x v="0"/>
    <s v="Lotion"/>
    <n v="238.09"/>
    <s v="Boston"/>
    <n v="1"/>
    <n v="4"/>
    <s v="Repeat"/>
  </r>
  <r>
    <s v="C171"/>
    <d v="2025-07-10T00:00:00"/>
    <x v="12"/>
    <x v="0"/>
    <s v="Perfume"/>
    <n v="344.73"/>
    <s v="Chicago"/>
    <n v="1"/>
    <n v="3"/>
    <s v="Repeat"/>
  </r>
  <r>
    <s v="C037"/>
    <d v="2025-09-21T00:00:00"/>
    <x v="11"/>
    <x v="3"/>
    <s v="Dumbbells"/>
    <n v="114.02"/>
    <s v="Miami"/>
    <n v="1"/>
    <n v="5"/>
    <s v="Repeat"/>
  </r>
  <r>
    <s v="C194"/>
    <d v="2025-04-21T00:00:00"/>
    <x v="6"/>
    <x v="3"/>
    <s v="Dumbbells"/>
    <n v="44.6"/>
    <s v="Boston"/>
    <n v="1"/>
    <n v="7"/>
    <s v="Repeat"/>
  </r>
  <r>
    <s v="C127"/>
    <d v="2025-07-28T00:00:00"/>
    <x v="12"/>
    <x v="1"/>
    <s v="Jeans"/>
    <n v="21.4"/>
    <s v="Boston"/>
    <n v="1"/>
    <n v="5"/>
    <s v="Repeat"/>
  </r>
  <r>
    <s v="C192"/>
    <d v="2025-03-28T00:00:00"/>
    <x v="3"/>
    <x v="2"/>
    <s v="Mouse"/>
    <n v="395.58"/>
    <s v="New York"/>
    <n v="1"/>
    <n v="7"/>
    <s v="Repeat"/>
  </r>
  <r>
    <s v="C057"/>
    <d v="2025-12-26T00:00:00"/>
    <x v="7"/>
    <x v="1"/>
    <s v="Jeans"/>
    <n v="117.53"/>
    <s v="Houston"/>
    <n v="1"/>
    <n v="10"/>
    <s v="Repeat"/>
  </r>
  <r>
    <s v="C015"/>
    <d v="2025-06-16T00:00:00"/>
    <x v="9"/>
    <x v="4"/>
    <s v="Blender"/>
    <n v="51.22"/>
    <s v="Seattle"/>
    <n v="1"/>
    <n v="6"/>
    <s v="Repeat"/>
  </r>
  <r>
    <s v="C128"/>
    <d v="2025-03-19T00:00:00"/>
    <x v="3"/>
    <x v="0"/>
    <s v="Lipstick"/>
    <n v="39.99"/>
    <s v="Chicago"/>
    <n v="1"/>
    <n v="2"/>
    <s v="Repeat"/>
  </r>
  <r>
    <s v="C065"/>
    <d v="2025-04-13T00:00:00"/>
    <x v="6"/>
    <x v="4"/>
    <s v="Microwave"/>
    <n v="308.27999999999997"/>
    <s v="Chicago"/>
    <n v="1"/>
    <n v="4"/>
    <s v="Repeat"/>
  </r>
  <r>
    <s v="C167"/>
    <d v="2025-10-16T00:00:00"/>
    <x v="4"/>
    <x v="1"/>
    <s v="Jeans"/>
    <n v="122.29"/>
    <s v="Houston"/>
    <n v="1"/>
    <n v="3"/>
    <s v="Repeat"/>
  </r>
  <r>
    <s v="C131"/>
    <d v="2025-04-26T00:00:00"/>
    <x v="6"/>
    <x v="2"/>
    <s v="Mouse"/>
    <n v="190.03"/>
    <s v="Miami"/>
    <n v="1"/>
    <n v="2"/>
    <s v="Repeat"/>
  </r>
  <r>
    <s v="C083"/>
    <d v="2025-08-24T00:00:00"/>
    <x v="5"/>
    <x v="0"/>
    <s v="Shampoo"/>
    <n v="233.51"/>
    <s v="New York"/>
    <n v="1"/>
    <n v="3"/>
    <s v="Repeat"/>
  </r>
  <r>
    <s v="C016"/>
    <d v="2025-06-08T00:00:00"/>
    <x v="9"/>
    <x v="1"/>
    <s v="T-shirt"/>
    <n v="78.42"/>
    <s v="New York"/>
    <n v="1"/>
    <n v="9"/>
    <s v="Repeat"/>
  </r>
  <r>
    <s v="C085"/>
    <d v="2025-11-07T00:00:00"/>
    <x v="1"/>
    <x v="3"/>
    <s v="Yoga Mat"/>
    <n v="21.07"/>
    <s v="Miami"/>
    <n v="1"/>
    <n v="4"/>
    <s v="Repeat"/>
  </r>
  <r>
    <s v="C033"/>
    <d v="2025-10-19T00:00:00"/>
    <x v="4"/>
    <x v="0"/>
    <s v="Lotion"/>
    <n v="394.29"/>
    <s v="Miami"/>
    <n v="1"/>
    <n v="5"/>
    <s v="Repeat"/>
  </r>
  <r>
    <s v="C070"/>
    <d v="2025-08-14T00:00:00"/>
    <x v="5"/>
    <x v="4"/>
    <s v="Chair"/>
    <n v="357.63"/>
    <s v="Boston"/>
    <n v="1"/>
    <n v="4"/>
    <s v="Repeat"/>
  </r>
  <r>
    <s v="C064"/>
    <d v="2025-03-02T00:00:00"/>
    <x v="3"/>
    <x v="3"/>
    <s v="Soccer Ball"/>
    <n v="69.98"/>
    <s v="Chicago"/>
    <n v="1"/>
    <n v="4"/>
    <s v="Repeat"/>
  </r>
  <r>
    <s v="C063"/>
    <d v="2025-11-27T00:00:00"/>
    <x v="1"/>
    <x v="4"/>
    <s v="Blender"/>
    <n v="84.05"/>
    <s v="Boston"/>
    <n v="1"/>
    <n v="4"/>
    <s v="Repeat"/>
  </r>
  <r>
    <s v="C034"/>
    <d v="2026-01-12T00:00:00"/>
    <x v="10"/>
    <x v="4"/>
    <s v="Chair"/>
    <n v="93.21"/>
    <s v="New York"/>
    <n v="1"/>
    <n v="4"/>
    <s v="Repeat"/>
  </r>
  <r>
    <s v="C058"/>
    <d v="2025-12-15T00:00:00"/>
    <x v="7"/>
    <x v="3"/>
    <s v="Soccer Ball"/>
    <n v="71.3"/>
    <s v="Seattle"/>
    <n v="1"/>
    <n v="4"/>
    <s v="Repeat"/>
  </r>
  <r>
    <s v="C111"/>
    <d v="2025-03-18T00:00:00"/>
    <x v="3"/>
    <x v="1"/>
    <s v="Shoes"/>
    <n v="322.27"/>
    <s v="Chicago"/>
    <n v="1"/>
    <n v="6"/>
    <s v="Repeat"/>
  </r>
  <r>
    <s v="C036"/>
    <d v="2025-05-24T00:00:00"/>
    <x v="2"/>
    <x v="3"/>
    <s v="Soccer Ball"/>
    <n v="255.15"/>
    <s v="Houston"/>
    <n v="1"/>
    <n v="4"/>
    <s v="Repeat"/>
  </r>
  <r>
    <s v="C014"/>
    <d v="2025-11-04T00:00:00"/>
    <x v="1"/>
    <x v="0"/>
    <s v="Lotion"/>
    <n v="138.85"/>
    <s v="Boston"/>
    <n v="1"/>
    <n v="2"/>
    <s v="Repeat"/>
  </r>
  <r>
    <s v="C175"/>
    <d v="2025-12-06T00:00:00"/>
    <x v="7"/>
    <x v="2"/>
    <s v="Keyboard"/>
    <n v="60.22"/>
    <s v="Los Angeles"/>
    <n v="1"/>
    <n v="3"/>
    <s v="Repeat"/>
  </r>
  <r>
    <s v="C073"/>
    <d v="2025-10-29T00:00:00"/>
    <x v="4"/>
    <x v="2"/>
    <s v="Keyboard"/>
    <n v="423.45"/>
    <s v="Boston"/>
    <n v="1"/>
    <n v="5"/>
    <s v="Repeat"/>
  </r>
  <r>
    <s v="C103"/>
    <d v="2025-11-15T00:00:00"/>
    <x v="1"/>
    <x v="1"/>
    <s v="Jacket"/>
    <n v="232.77"/>
    <s v="Miami"/>
    <n v="1"/>
    <n v="3"/>
    <s v="Repeat"/>
  </r>
  <r>
    <s v="C053"/>
    <d v="2025-06-22T00:00:00"/>
    <x v="9"/>
    <x v="4"/>
    <s v="Chair"/>
    <n v="218.82"/>
    <s v="New York"/>
    <n v="1"/>
    <n v="3"/>
    <s v="Repeat"/>
  </r>
  <r>
    <s v="C192"/>
    <d v="2025-11-05T00:00:00"/>
    <x v="1"/>
    <x v="0"/>
    <s v="Perfume"/>
    <n v="270.98"/>
    <s v="Chicago"/>
    <n v="1"/>
    <n v="7"/>
    <s v="Repeat"/>
  </r>
  <r>
    <s v="C152"/>
    <d v="2025-11-03T00:00:00"/>
    <x v="1"/>
    <x v="1"/>
    <s v="Jeans"/>
    <n v="456.12"/>
    <s v="Seattle"/>
    <n v="1"/>
    <n v="4"/>
    <s v="Repeat"/>
  </r>
  <r>
    <s v="C029"/>
    <d v="2026-02-16T00:00:00"/>
    <x v="0"/>
    <x v="3"/>
    <s v="Yoga Mat"/>
    <n v="274.74"/>
    <s v="New York"/>
    <n v="1"/>
    <n v="6"/>
    <s v="Repeat"/>
  </r>
  <r>
    <s v="C054"/>
    <d v="2025-03-26T00:00:00"/>
    <x v="3"/>
    <x v="1"/>
    <s v="Shoes"/>
    <n v="373.19"/>
    <s v="Seattle"/>
    <n v="1"/>
    <n v="3"/>
    <s v="Repeat"/>
  </r>
  <r>
    <s v="C122"/>
    <d v="2026-01-10T00:00:00"/>
    <x v="10"/>
    <x v="2"/>
    <s v="Keyboard"/>
    <n v="225.81"/>
    <s v="New York"/>
    <n v="1"/>
    <n v="5"/>
    <s v="Repeat"/>
  </r>
  <r>
    <s v="C135"/>
    <d v="2025-06-06T00:00:00"/>
    <x v="9"/>
    <x v="3"/>
    <s v="Sneakers"/>
    <n v="286.98"/>
    <s v="New York"/>
    <n v="1"/>
    <n v="2"/>
    <s v="New"/>
  </r>
  <r>
    <s v="C083"/>
    <d v="2026-02-11T00:00:00"/>
    <x v="0"/>
    <x v="0"/>
    <s v="Lotion"/>
    <n v="307.01"/>
    <s v="Houston"/>
    <n v="1"/>
    <n v="3"/>
    <s v="Repeat"/>
  </r>
  <r>
    <s v="C148"/>
    <d v="2025-06-18T00:00:00"/>
    <x v="9"/>
    <x v="0"/>
    <s v="Lipstick"/>
    <n v="390.32"/>
    <s v="Boston"/>
    <n v="1"/>
    <n v="4"/>
    <s v="Repeat"/>
  </r>
  <r>
    <s v="C162"/>
    <d v="2025-05-25T00:00:00"/>
    <x v="2"/>
    <x v="4"/>
    <s v="Chair"/>
    <n v="128.94"/>
    <s v="Chicago"/>
    <n v="1"/>
    <n v="4"/>
    <s v="Repeat"/>
  </r>
  <r>
    <s v="C137"/>
    <d v="2025-09-02T00:00:00"/>
    <x v="11"/>
    <x v="4"/>
    <s v="Microwave"/>
    <n v="445.84"/>
    <s v="Houston"/>
    <n v="1"/>
    <n v="5"/>
    <s v="Repeat"/>
  </r>
  <r>
    <s v="C101"/>
    <d v="2025-09-02T00:00:00"/>
    <x v="11"/>
    <x v="1"/>
    <s v="Jacket"/>
    <n v="363.79"/>
    <s v="Houston"/>
    <n v="1"/>
    <n v="6"/>
    <s v="Repeat"/>
  </r>
  <r>
    <s v="C052"/>
    <d v="2026-01-06T00:00:00"/>
    <x v="10"/>
    <x v="4"/>
    <s v="Lamp"/>
    <n v="91.18"/>
    <s v="Miami"/>
    <n v="1"/>
    <n v="2"/>
    <s v="Repeat"/>
  </r>
  <r>
    <s v="C170"/>
    <d v="2025-08-07T00:00:00"/>
    <x v="5"/>
    <x v="0"/>
    <s v="Foundation"/>
    <n v="459.62"/>
    <s v="New York"/>
    <n v="1"/>
    <n v="4"/>
    <s v="Repeat"/>
  </r>
  <r>
    <s v="C129"/>
    <d v="2025-02-27T00:00:00"/>
    <x v="8"/>
    <x v="4"/>
    <s v="Blender"/>
    <n v="27.65"/>
    <s v="New York"/>
    <n v="1"/>
    <n v="3"/>
    <s v="Repeat"/>
  </r>
  <r>
    <s v="C012"/>
    <d v="2025-03-05T00:00:00"/>
    <x v="3"/>
    <x v="0"/>
    <s v="Perfume"/>
    <n v="70.81"/>
    <s v="Houston"/>
    <n v="1"/>
    <n v="4"/>
    <s v="Repeat"/>
  </r>
  <r>
    <s v="C102"/>
    <d v="2025-08-04T00:00:00"/>
    <x v="5"/>
    <x v="4"/>
    <s v="Lamp"/>
    <n v="252.85"/>
    <s v="Chicago"/>
    <n v="1"/>
    <n v="5"/>
    <s v="Repeat"/>
  </r>
  <r>
    <s v="C119"/>
    <d v="2025-08-10T00:00:00"/>
    <x v="5"/>
    <x v="1"/>
    <s v="Sweater"/>
    <n v="240.17"/>
    <s v="Seattle"/>
    <n v="1"/>
    <n v="6"/>
    <s v="Repeat"/>
  </r>
  <r>
    <s v="C139"/>
    <d v="2025-09-20T00:00:00"/>
    <x v="11"/>
    <x v="1"/>
    <s v="Sweater"/>
    <n v="347.44"/>
    <s v="Seattle"/>
    <n v="1"/>
    <n v="5"/>
    <s v="Repeat"/>
  </r>
  <r>
    <s v="C142"/>
    <d v="2025-10-31T00:00:00"/>
    <x v="4"/>
    <x v="3"/>
    <s v="Yoga Mat"/>
    <n v="87.38"/>
    <s v="Miami"/>
    <n v="1"/>
    <n v="6"/>
    <s v="Repeat"/>
  </r>
  <r>
    <s v="C096"/>
    <d v="2026-01-21T00:00:00"/>
    <x v="10"/>
    <x v="0"/>
    <s v="Perfume"/>
    <n v="471.14"/>
    <s v="New York"/>
    <n v="1"/>
    <n v="2"/>
    <s v="Repeat"/>
  </r>
  <r>
    <s v="C140"/>
    <d v="2025-03-21T00:00:00"/>
    <x v="3"/>
    <x v="3"/>
    <s v="Soccer Ball"/>
    <n v="292.77999999999997"/>
    <s v="Los Angeles"/>
    <n v="1"/>
    <n v="5"/>
    <s v="Repeat"/>
  </r>
  <r>
    <s v="C029"/>
    <d v="2025-12-07T00:00:00"/>
    <x v="7"/>
    <x v="0"/>
    <s v="Lotion"/>
    <n v="275.29000000000002"/>
    <s v="Miami"/>
    <n v="1"/>
    <n v="6"/>
    <s v="Repeat"/>
  </r>
  <r>
    <s v="C164"/>
    <d v="2025-05-19T00:00:00"/>
    <x v="2"/>
    <x v="2"/>
    <s v="Smartphone"/>
    <n v="265.14999999999998"/>
    <s v="Seattle"/>
    <n v="1"/>
    <n v="5"/>
    <s v="Repeat"/>
  </r>
  <r>
    <s v="C057"/>
    <d v="2025-05-14T00:00:00"/>
    <x v="2"/>
    <x v="2"/>
    <s v="Headphones"/>
    <n v="57.23"/>
    <s v="Houston"/>
    <n v="1"/>
    <n v="10"/>
    <s v="Repeat"/>
  </r>
  <r>
    <s v="C133"/>
    <d v="2025-10-13T00:00:00"/>
    <x v="4"/>
    <x v="1"/>
    <s v="Jacket"/>
    <n v="409.37"/>
    <s v="New York"/>
    <n v="1"/>
    <n v="3"/>
    <s v="Repeat"/>
  </r>
  <r>
    <s v="C197"/>
    <d v="2026-02-18T00:00:00"/>
    <x v="0"/>
    <x v="4"/>
    <s v="Toaster"/>
    <n v="73.27"/>
    <s v="Boston"/>
    <n v="1"/>
    <n v="4"/>
    <s v="Repeat"/>
  </r>
  <r>
    <s v="C112"/>
    <d v="2025-05-02T00:00:00"/>
    <x v="2"/>
    <x v="1"/>
    <s v="Shoes"/>
    <n v="309.62"/>
    <s v="Chicago"/>
    <n v="1"/>
    <n v="6"/>
    <s v="Repeat"/>
  </r>
  <r>
    <s v="C135"/>
    <d v="2025-10-24T00:00:00"/>
    <x v="4"/>
    <x v="0"/>
    <s v="Perfume"/>
    <n v="38.840000000000003"/>
    <s v="New York"/>
    <n v="1"/>
    <n v="2"/>
    <s v="Repeat"/>
  </r>
  <r>
    <s v="C159"/>
    <d v="2026-01-18T00:00:00"/>
    <x v="10"/>
    <x v="4"/>
    <s v="Toaster"/>
    <n v="176"/>
    <s v="New York"/>
    <n v="1"/>
    <n v="5"/>
    <s v="Repeat"/>
  </r>
  <r>
    <s v="C015"/>
    <d v="2025-06-19T00:00:00"/>
    <x v="9"/>
    <x v="2"/>
    <s v="Smartphone"/>
    <n v="300.38"/>
    <s v="New York"/>
    <n v="1"/>
    <n v="6"/>
    <s v="Repeat"/>
  </r>
  <r>
    <m/>
    <m/>
    <x v="13"/>
    <x v="5"/>
    <m/>
    <m/>
    <m/>
    <m/>
    <m/>
    <m/>
  </r>
</pivotCacheRecords>
</file>

<file path=xl/pivotCache/pivotCacheRecords3.xml><?xml version="1.0" encoding="utf-8"?>
<pivotCacheRecords xmlns="http://schemas.openxmlformats.org/spreadsheetml/2006/main" xmlns:r="http://schemas.openxmlformats.org/officeDocument/2006/relationships" count="5">
  <r>
    <x v="0"/>
    <n v="33773.839999999982"/>
  </r>
  <r>
    <x v="1"/>
    <n v="37711.93"/>
  </r>
  <r>
    <x v="2"/>
    <n v="39833"/>
  </r>
  <r>
    <x v="3"/>
    <n v="34808.080000000002"/>
  </r>
  <r>
    <x v="4"/>
    <n v="30151.089999999997"/>
  </r>
</pivotCacheRecords>
</file>

<file path=xl/pivotCache/pivotCacheRecords4.xml><?xml version="1.0" encoding="utf-8"?>
<pivotCacheRecords xmlns="http://schemas.openxmlformats.org/spreadsheetml/2006/main" xmlns:r="http://schemas.openxmlformats.org/officeDocument/2006/relationships" count="5">
  <r>
    <x v="0"/>
    <n v="2892.28"/>
  </r>
  <r>
    <x v="1"/>
    <n v="2652.27"/>
  </r>
  <r>
    <x v="2"/>
    <n v="2515.1999999999998"/>
  </r>
  <r>
    <x v="3"/>
    <n v="2011.9199999999901"/>
  </r>
  <r>
    <x v="4"/>
    <n v="1982.29"/>
  </r>
</pivotCacheRecords>
</file>

<file path=xl/pivotCache/pivotCacheRecords5.xml><?xml version="1.0" encoding="utf-8"?>
<pivotCacheRecords xmlns="http://schemas.openxmlformats.org/spreadsheetml/2006/main" xmlns:r="http://schemas.openxmlformats.org/officeDocument/2006/relationships" count="701">
  <r>
    <s v="C167"/>
    <d v="2026-02-15T00:00:00"/>
    <s v="02-2026"/>
    <s v="Beauty"/>
    <s v="Perfume"/>
    <n v="130.84"/>
    <x v="0"/>
    <n v="1"/>
    <n v="3"/>
  </r>
  <r>
    <s v="C147"/>
    <d v="2025-11-27T00:00:00"/>
    <s v="11-2025"/>
    <s v="Clothing"/>
    <s v="Jeans"/>
    <n v="11.25"/>
    <x v="0"/>
    <n v="1"/>
    <n v="2"/>
  </r>
  <r>
    <s v="C195"/>
    <d v="2025-05-17T00:00:00"/>
    <s v="05-2025"/>
    <s v="Clothing"/>
    <s v="Shoes"/>
    <n v="60.34"/>
    <x v="1"/>
    <n v="1"/>
    <n v="5"/>
  </r>
  <r>
    <s v="C178"/>
    <d v="2025-03-29T00:00:00"/>
    <s v="03-2025"/>
    <s v="Clothing"/>
    <s v="Jacket"/>
    <n v="455.49"/>
    <x v="2"/>
    <n v="0"/>
    <n v="1"/>
  </r>
  <r>
    <s v="C183"/>
    <d v="2025-10-09T00:00:00"/>
    <s v="10-2025"/>
    <s v="Clothing"/>
    <s v="Shoes"/>
    <n v="199.87"/>
    <x v="2"/>
    <n v="1"/>
    <n v="9"/>
  </r>
  <r>
    <s v="C123"/>
    <d v="2025-10-02T00:00:00"/>
    <s v="10-2025"/>
    <s v="Electronics"/>
    <s v="Keyboard"/>
    <n v="217.11"/>
    <x v="3"/>
    <n v="1"/>
    <n v="3"/>
  </r>
  <r>
    <s v="C183"/>
    <d v="2025-10-26T00:00:00"/>
    <s v="10-2025"/>
    <s v="Clothing"/>
    <s v="Jacket"/>
    <n v="49.89"/>
    <x v="3"/>
    <n v="1"/>
    <n v="9"/>
  </r>
  <r>
    <s v="C033"/>
    <d v="2025-10-07T00:00:00"/>
    <s v="10-2025"/>
    <s v="Beauty"/>
    <s v="Shampoo"/>
    <n v="225.76"/>
    <x v="4"/>
    <n v="1"/>
    <n v="5"/>
  </r>
  <r>
    <s v="C172"/>
    <d v="2025-08-04T00:00:00"/>
    <s v="08-2025"/>
    <s v="Sports"/>
    <s v="Dumbbells"/>
    <n v="332.71"/>
    <x v="5"/>
    <n v="0"/>
    <n v="1"/>
  </r>
  <r>
    <s v="C060"/>
    <d v="2025-04-12T00:00:00"/>
    <s v="04-2025"/>
    <s v="Sports"/>
    <s v="Tennis Racket"/>
    <n v="88.7"/>
    <x v="1"/>
    <n v="1"/>
    <n v="3"/>
  </r>
  <r>
    <s v="C107"/>
    <d v="2025-12-29T00:00:00"/>
    <s v="12-2025"/>
    <s v="Beauty"/>
    <s v="Foundation"/>
    <n v="62.24"/>
    <x v="2"/>
    <n v="1"/>
    <n v="5"/>
  </r>
  <r>
    <s v="C008"/>
    <d v="2025-02-23T00:00:00"/>
    <s v="02-2025"/>
    <s v="Electronics"/>
    <s v="Smartphone"/>
    <n v="493.22"/>
    <x v="0"/>
    <n v="1"/>
    <n v="4"/>
  </r>
  <r>
    <s v="C091"/>
    <d v="2026-02-15T00:00:00"/>
    <s v="02-2026"/>
    <s v="Electronics"/>
    <s v="Headphones"/>
    <n v="104.02"/>
    <x v="3"/>
    <n v="1"/>
    <n v="5"/>
  </r>
  <r>
    <s v="C070"/>
    <d v="2025-06-25T00:00:00"/>
    <s v="06-2025"/>
    <s v="Clothing"/>
    <s v="Sweater"/>
    <n v="66.290000000000006"/>
    <x v="4"/>
    <n v="1"/>
    <n v="4"/>
  </r>
  <r>
    <s v="C190"/>
    <d v="2025-08-04T00:00:00"/>
    <s v="08-2025"/>
    <s v="Sports"/>
    <s v="Dumbbells"/>
    <n v="478.65"/>
    <x v="1"/>
    <n v="0"/>
    <n v="1"/>
  </r>
  <r>
    <s v="C067"/>
    <d v="2025-05-18T00:00:00"/>
    <s v="05-2025"/>
    <s v="Beauty"/>
    <s v="Foundation"/>
    <n v="326.18"/>
    <x v="0"/>
    <n v="1"/>
    <n v="4"/>
  </r>
  <r>
    <s v="C075"/>
    <d v="2025-03-24T00:00:00"/>
    <s v="03-2025"/>
    <s v="Home"/>
    <s v="Chair"/>
    <n v="432.34"/>
    <x v="3"/>
    <n v="1"/>
    <n v="8"/>
  </r>
  <r>
    <s v="C047"/>
    <d v="2025-05-02T00:00:00"/>
    <s v="05-2025"/>
    <s v="Sports"/>
    <s v="Yoga Mat"/>
    <n v="108.15"/>
    <x v="4"/>
    <n v="1"/>
    <n v="3"/>
  </r>
  <r>
    <s v="C023"/>
    <d v="2025-04-23T00:00:00"/>
    <s v="04-2025"/>
    <s v="Electronics"/>
    <s v="Smartphone"/>
    <n v="267.75"/>
    <x v="0"/>
    <n v="1"/>
    <n v="5"/>
  </r>
  <r>
    <s v="C001"/>
    <d v="2025-08-22T00:00:00"/>
    <s v="08-2025"/>
    <s v="Electronics"/>
    <s v="Keyboard"/>
    <n v="117.93"/>
    <x v="0"/>
    <n v="1"/>
    <n v="4"/>
  </r>
  <r>
    <s v="C182"/>
    <d v="2025-03-24T00:00:00"/>
    <s v="03-2025"/>
    <s v="Sports"/>
    <s v="Soccer Ball"/>
    <n v="288.33999999999997"/>
    <x v="5"/>
    <n v="1"/>
    <n v="3"/>
  </r>
  <r>
    <s v="C075"/>
    <d v="2025-10-07T00:00:00"/>
    <s v="10-2025"/>
    <s v="Beauty"/>
    <s v="Lipstick"/>
    <n v="146.52000000000001"/>
    <x v="2"/>
    <n v="1"/>
    <n v="8"/>
  </r>
  <r>
    <s v="C100"/>
    <d v="2025-05-12T00:00:00"/>
    <s v="05-2025"/>
    <s v="Sports"/>
    <s v="Soccer Ball"/>
    <n v="80.819999999999993"/>
    <x v="2"/>
    <n v="1"/>
    <n v="2"/>
  </r>
  <r>
    <s v="C025"/>
    <d v="2025-04-27T00:00:00"/>
    <s v="04-2025"/>
    <s v="Clothing"/>
    <s v="Shoes"/>
    <n v="406.37"/>
    <x v="5"/>
    <n v="1"/>
    <n v="6"/>
  </r>
  <r>
    <s v="C040"/>
    <d v="2026-01-29T00:00:00"/>
    <s v="01-2026"/>
    <s v="Electronics"/>
    <s v="Keyboard"/>
    <n v="410.52"/>
    <x v="0"/>
    <n v="1"/>
    <n v="4"/>
  </r>
  <r>
    <s v="C101"/>
    <d v="2025-10-29T00:00:00"/>
    <s v="10-2025"/>
    <s v="Sports"/>
    <s v="Soccer Ball"/>
    <n v="87.88"/>
    <x v="3"/>
    <n v="1"/>
    <n v="6"/>
  </r>
  <r>
    <s v="C031"/>
    <d v="2025-12-10T00:00:00"/>
    <s v="12-2025"/>
    <s v="Clothing"/>
    <s v="Sweater"/>
    <n v="387.1"/>
    <x v="2"/>
    <n v="1"/>
    <n v="5"/>
  </r>
  <r>
    <s v="C008"/>
    <d v="2025-08-21T00:00:00"/>
    <s v="08-2025"/>
    <s v="Clothing"/>
    <s v="T-shirt"/>
    <n v="467.51"/>
    <x v="3"/>
    <n v="1"/>
    <n v="4"/>
  </r>
  <r>
    <s v="C136"/>
    <d v="2025-05-07T00:00:00"/>
    <s v="05-2025"/>
    <s v="Beauty"/>
    <s v="Foundation"/>
    <n v="466.89"/>
    <x v="1"/>
    <n v="1"/>
    <n v="3"/>
  </r>
  <r>
    <s v="C194"/>
    <d v="2025-03-18T00:00:00"/>
    <s v="03-2025"/>
    <s v="Home"/>
    <s v="Toaster"/>
    <n v="351.58"/>
    <x v="0"/>
    <n v="1"/>
    <n v="7"/>
  </r>
  <r>
    <s v="C005"/>
    <d v="2025-09-10T00:00:00"/>
    <s v="09-2025"/>
    <s v="Beauty"/>
    <s v="Lipstick"/>
    <n v="187.71"/>
    <x v="6"/>
    <n v="1"/>
    <n v="4"/>
  </r>
  <r>
    <s v="C069"/>
    <d v="2025-08-11T00:00:00"/>
    <s v="08-2025"/>
    <s v="Home"/>
    <s v="Lamp"/>
    <n v="330.98"/>
    <x v="4"/>
    <n v="1"/>
    <n v="7"/>
  </r>
  <r>
    <s v="C056"/>
    <d v="2025-03-02T00:00:00"/>
    <s v="03-2025"/>
    <s v="Electronics"/>
    <s v="Mouse"/>
    <n v="345.51"/>
    <x v="1"/>
    <n v="1"/>
    <n v="3"/>
  </r>
  <r>
    <s v="C183"/>
    <d v="2025-03-23T00:00:00"/>
    <s v="03-2025"/>
    <s v="Electronics"/>
    <s v="Smartphone"/>
    <n v="437.67"/>
    <x v="3"/>
    <n v="1"/>
    <n v="9"/>
  </r>
  <r>
    <s v="C010"/>
    <d v="2025-10-06T00:00:00"/>
    <s v="10-2025"/>
    <s v="Clothing"/>
    <s v="Jacket"/>
    <n v="116.58"/>
    <x v="2"/>
    <n v="1"/>
    <n v="3"/>
  </r>
  <r>
    <s v="C026"/>
    <d v="2025-07-27T00:00:00"/>
    <s v="07-2025"/>
    <s v="Sports"/>
    <s v="Dumbbells"/>
    <n v="120.01"/>
    <x v="4"/>
    <n v="1"/>
    <n v="3"/>
  </r>
  <r>
    <s v="C180"/>
    <d v="2025-09-10T00:00:00"/>
    <s v="09-2025"/>
    <s v="Home"/>
    <s v="Toaster"/>
    <n v="55.22"/>
    <x v="0"/>
    <n v="1"/>
    <n v="6"/>
  </r>
  <r>
    <s v="C049"/>
    <d v="2026-02-09T00:00:00"/>
    <s v="02-2026"/>
    <s v="Home"/>
    <s v="Chair"/>
    <n v="77.56"/>
    <x v="5"/>
    <n v="1"/>
    <n v="4"/>
  </r>
  <r>
    <s v="C067"/>
    <d v="2025-11-21T00:00:00"/>
    <s v="11-2025"/>
    <s v="Electronics"/>
    <s v="Keyboard"/>
    <n v="426.31"/>
    <x v="1"/>
    <n v="1"/>
    <n v="4"/>
  </r>
  <r>
    <s v="C089"/>
    <d v="2026-02-01T00:00:00"/>
    <s v="02-2026"/>
    <s v="Clothing"/>
    <s v="Sweater"/>
    <n v="393.11"/>
    <x v="6"/>
    <n v="1"/>
    <n v="3"/>
  </r>
  <r>
    <s v="C018"/>
    <d v="2025-03-25T00:00:00"/>
    <s v="03-2025"/>
    <s v="Clothing"/>
    <s v="Sweater"/>
    <n v="186.77"/>
    <x v="0"/>
    <n v="1"/>
    <n v="6"/>
  </r>
  <r>
    <s v="C057"/>
    <d v="2025-09-14T00:00:00"/>
    <s v="09-2025"/>
    <s v="Sports"/>
    <s v="Yoga Mat"/>
    <n v="145.19"/>
    <x v="4"/>
    <n v="1"/>
    <n v="10"/>
  </r>
  <r>
    <s v="C139"/>
    <d v="2025-05-06T00:00:00"/>
    <s v="05-2025"/>
    <s v="Sports"/>
    <s v="Soccer Ball"/>
    <n v="47.74"/>
    <x v="0"/>
    <n v="1"/>
    <n v="5"/>
  </r>
  <r>
    <s v="C132"/>
    <d v="2025-08-07T00:00:00"/>
    <s v="08-2025"/>
    <s v="Electronics"/>
    <s v="Mouse"/>
    <n v="218.4"/>
    <x v="0"/>
    <n v="1"/>
    <n v="4"/>
  </r>
  <r>
    <s v="C158"/>
    <d v="2025-04-02T00:00:00"/>
    <s v="04-2025"/>
    <s v="Beauty"/>
    <s v="Lipstick"/>
    <n v="342.03"/>
    <x v="5"/>
    <n v="1"/>
    <n v="5"/>
  </r>
  <r>
    <s v="C171"/>
    <d v="2026-01-04T00:00:00"/>
    <s v="01-2026"/>
    <s v="Electronics"/>
    <s v="Smartphone"/>
    <n v="199.54"/>
    <x v="5"/>
    <n v="1"/>
    <n v="3"/>
  </r>
  <r>
    <s v="C199"/>
    <d v="2025-09-29T00:00:00"/>
    <s v="09-2025"/>
    <s v="Electronics"/>
    <s v="Laptop"/>
    <n v="466.63"/>
    <x v="0"/>
    <n v="1"/>
    <n v="7"/>
  </r>
  <r>
    <s v="C106"/>
    <d v="2025-09-29T00:00:00"/>
    <s v="09-2025"/>
    <s v="Beauty"/>
    <s v="Perfume"/>
    <n v="278.2"/>
    <x v="4"/>
    <n v="1"/>
    <n v="5"/>
  </r>
  <r>
    <s v="C185"/>
    <d v="2026-01-21T00:00:00"/>
    <s v="01-2026"/>
    <s v="Electronics"/>
    <s v="Keyboard"/>
    <n v="397.06"/>
    <x v="1"/>
    <n v="1"/>
    <n v="2"/>
  </r>
  <r>
    <s v="C159"/>
    <d v="2025-09-01T00:00:00"/>
    <s v="09-2025"/>
    <s v="Electronics"/>
    <s v="Laptop"/>
    <n v="70.94"/>
    <x v="4"/>
    <n v="1"/>
    <n v="5"/>
  </r>
  <r>
    <s v="C060"/>
    <d v="2026-02-21T00:00:00"/>
    <s v="02-2026"/>
    <s v="Electronics"/>
    <s v="Smartphone"/>
    <n v="71.709999999999994"/>
    <x v="3"/>
    <n v="1"/>
    <n v="3"/>
  </r>
  <r>
    <s v="C166"/>
    <d v="2025-04-08T00:00:00"/>
    <s v="04-2025"/>
    <s v="Sports"/>
    <s v="Yoga Mat"/>
    <n v="355.51"/>
    <x v="6"/>
    <n v="0"/>
    <n v="1"/>
  </r>
  <r>
    <s v="C043"/>
    <d v="2025-12-25T00:00:00"/>
    <s v="12-2025"/>
    <s v="Electronics"/>
    <s v="Smartphone"/>
    <n v="222.49"/>
    <x v="5"/>
    <n v="1"/>
    <n v="6"/>
  </r>
  <r>
    <s v="C183"/>
    <d v="2026-01-23T00:00:00"/>
    <s v="01-2026"/>
    <s v="Sports"/>
    <s v="Sneakers"/>
    <n v="427.64"/>
    <x v="4"/>
    <n v="1"/>
    <n v="9"/>
  </r>
  <r>
    <s v="C141"/>
    <d v="2025-03-27T00:00:00"/>
    <s v="03-2025"/>
    <s v="Electronics"/>
    <s v="Headphones"/>
    <n v="171.76"/>
    <x v="5"/>
    <n v="1"/>
    <n v="2"/>
  </r>
  <r>
    <s v="C161"/>
    <d v="2025-09-03T00:00:00"/>
    <s v="09-2025"/>
    <s v="Beauty"/>
    <s v="Lotion"/>
    <n v="354.04"/>
    <x v="2"/>
    <n v="1"/>
    <n v="5"/>
  </r>
  <r>
    <s v="C057"/>
    <d v="2025-06-23T00:00:00"/>
    <s v="06-2025"/>
    <s v="Clothing"/>
    <s v="Sweater"/>
    <n v="239.36"/>
    <x v="1"/>
    <n v="1"/>
    <n v="10"/>
  </r>
  <r>
    <s v="C122"/>
    <d v="2025-12-17T00:00:00"/>
    <s v="12-2025"/>
    <s v="Electronics"/>
    <s v="Smartphone"/>
    <n v="215.77"/>
    <x v="3"/>
    <n v="1"/>
    <n v="5"/>
  </r>
  <r>
    <s v="C010"/>
    <d v="2026-02-21T00:00:00"/>
    <s v="02-2026"/>
    <s v="Sports"/>
    <s v="Tennis Racket"/>
    <n v="330.4"/>
    <x v="3"/>
    <n v="1"/>
    <n v="3"/>
  </r>
  <r>
    <s v="C107"/>
    <d v="2026-02-18T00:00:00"/>
    <s v="02-2026"/>
    <s v="Clothing"/>
    <s v="Jacket"/>
    <n v="386.13"/>
    <x v="5"/>
    <n v="1"/>
    <n v="5"/>
  </r>
  <r>
    <s v="C195"/>
    <d v="2025-12-06T00:00:00"/>
    <s v="12-2025"/>
    <s v="Sports"/>
    <s v="Tennis Racket"/>
    <n v="333.88"/>
    <x v="5"/>
    <n v="1"/>
    <n v="5"/>
  </r>
  <r>
    <s v="C170"/>
    <d v="2025-04-28T00:00:00"/>
    <s v="04-2025"/>
    <s v="Beauty"/>
    <s v="Foundation"/>
    <n v="139.87"/>
    <x v="3"/>
    <n v="1"/>
    <n v="4"/>
  </r>
  <r>
    <s v="C179"/>
    <d v="2025-09-14T00:00:00"/>
    <s v="09-2025"/>
    <s v="Electronics"/>
    <s v="Laptop"/>
    <n v="247.72"/>
    <x v="0"/>
    <n v="1"/>
    <n v="3"/>
  </r>
  <r>
    <s v="C112"/>
    <d v="2025-08-19T00:00:00"/>
    <s v="08-2025"/>
    <s v="Home"/>
    <s v="Blender"/>
    <n v="27.36"/>
    <x v="0"/>
    <n v="1"/>
    <n v="6"/>
  </r>
  <r>
    <s v="C143"/>
    <d v="2025-12-20T00:00:00"/>
    <s v="12-2025"/>
    <s v="Sports"/>
    <s v="Tennis Racket"/>
    <n v="84.45"/>
    <x v="3"/>
    <n v="1"/>
    <n v="5"/>
  </r>
  <r>
    <s v="C074"/>
    <d v="2025-06-10T00:00:00"/>
    <s v="06-2025"/>
    <s v="Beauty"/>
    <s v="Lipstick"/>
    <n v="455.78"/>
    <x v="2"/>
    <n v="1"/>
    <n v="2"/>
  </r>
  <r>
    <s v="C041"/>
    <d v="2025-12-11T00:00:00"/>
    <s v="12-2025"/>
    <s v="Sports"/>
    <s v="Soccer Ball"/>
    <n v="51.83"/>
    <x v="5"/>
    <n v="1"/>
    <n v="4"/>
  </r>
  <r>
    <s v="C158"/>
    <d v="2025-06-02T00:00:00"/>
    <s v="06-2025"/>
    <s v="Clothing"/>
    <s v="Shoes"/>
    <n v="83.13"/>
    <x v="1"/>
    <n v="1"/>
    <n v="5"/>
  </r>
  <r>
    <s v="C161"/>
    <d v="2025-04-02T00:00:00"/>
    <s v="04-2025"/>
    <s v="Home"/>
    <s v="Toaster"/>
    <n v="366.63"/>
    <x v="3"/>
    <n v="1"/>
    <n v="5"/>
  </r>
  <r>
    <s v="C117"/>
    <d v="2025-04-02T00:00:00"/>
    <s v="04-2025"/>
    <s v="Beauty"/>
    <s v="Perfume"/>
    <n v="206.96"/>
    <x v="3"/>
    <n v="1"/>
    <n v="5"/>
  </r>
  <r>
    <s v="C099"/>
    <d v="2025-04-23T00:00:00"/>
    <s v="04-2025"/>
    <s v="Sports"/>
    <s v="Soccer Ball"/>
    <n v="410.43"/>
    <x v="1"/>
    <n v="1"/>
    <n v="3"/>
  </r>
  <r>
    <s v="C009"/>
    <d v="2025-06-14T00:00:00"/>
    <s v="06-2025"/>
    <s v="Beauty"/>
    <s v="Lipstick"/>
    <n v="19.809999999999999"/>
    <x v="3"/>
    <n v="1"/>
    <n v="2"/>
  </r>
  <r>
    <s v="C094"/>
    <d v="2025-12-01T00:00:00"/>
    <s v="12-2025"/>
    <s v="Sports"/>
    <s v="Soccer Ball"/>
    <n v="372.18"/>
    <x v="1"/>
    <n v="1"/>
    <n v="4"/>
  </r>
  <r>
    <s v="C043"/>
    <d v="2025-04-12T00:00:00"/>
    <s v="04-2025"/>
    <s v="Clothing"/>
    <s v="T-shirt"/>
    <n v="182.25"/>
    <x v="6"/>
    <n v="1"/>
    <n v="6"/>
  </r>
  <r>
    <s v="C033"/>
    <d v="2025-07-25T00:00:00"/>
    <s v="07-2025"/>
    <s v="Electronics"/>
    <s v="Laptop"/>
    <n v="394.2"/>
    <x v="6"/>
    <n v="1"/>
    <n v="5"/>
  </r>
  <r>
    <s v="C116"/>
    <d v="2025-09-07T00:00:00"/>
    <s v="09-2025"/>
    <s v="Clothing"/>
    <s v="Sweater"/>
    <n v="336.64"/>
    <x v="5"/>
    <n v="1"/>
    <n v="2"/>
  </r>
  <r>
    <s v="C109"/>
    <d v="2025-06-09T00:00:00"/>
    <s v="06-2025"/>
    <s v="Electronics"/>
    <s v="Laptop"/>
    <n v="166.19"/>
    <x v="0"/>
    <n v="1"/>
    <n v="4"/>
  </r>
  <r>
    <s v="C048"/>
    <d v="2026-01-19T00:00:00"/>
    <s v="01-2026"/>
    <s v="Beauty"/>
    <s v="Lipstick"/>
    <n v="272.55"/>
    <x v="4"/>
    <n v="1"/>
    <n v="2"/>
  </r>
  <r>
    <s v="C182"/>
    <d v="2025-12-02T00:00:00"/>
    <s v="12-2025"/>
    <s v="Sports"/>
    <s v="Yoga Mat"/>
    <n v="413.14"/>
    <x v="4"/>
    <n v="1"/>
    <n v="3"/>
  </r>
  <r>
    <s v="C098"/>
    <d v="2025-05-02T00:00:00"/>
    <s v="05-2025"/>
    <s v="Sports"/>
    <s v="Tennis Racket"/>
    <n v="142.74"/>
    <x v="1"/>
    <n v="1"/>
    <n v="2"/>
  </r>
  <r>
    <s v="C079"/>
    <d v="2026-01-17T00:00:00"/>
    <s v="01-2026"/>
    <s v="Home"/>
    <s v="Lamp"/>
    <n v="176.78"/>
    <x v="2"/>
    <n v="1"/>
    <n v="3"/>
  </r>
  <r>
    <s v="C057"/>
    <d v="2026-01-13T00:00:00"/>
    <s v="01-2026"/>
    <s v="Electronics"/>
    <s v="Laptop"/>
    <n v="229.67"/>
    <x v="6"/>
    <n v="1"/>
    <n v="10"/>
  </r>
  <r>
    <s v="C042"/>
    <d v="2025-08-27T00:00:00"/>
    <s v="08-2025"/>
    <s v="Electronics"/>
    <s v="Laptop"/>
    <n v="61.18"/>
    <x v="2"/>
    <n v="1"/>
    <n v="3"/>
  </r>
  <r>
    <s v="C081"/>
    <d v="2025-09-27T00:00:00"/>
    <s v="09-2025"/>
    <s v="Clothing"/>
    <s v="Jacket"/>
    <n v="203.03"/>
    <x v="5"/>
    <n v="1"/>
    <n v="4"/>
  </r>
  <r>
    <s v="C199"/>
    <d v="2025-03-12T00:00:00"/>
    <s v="03-2025"/>
    <s v="Sports"/>
    <s v="Tennis Racket"/>
    <n v="119.44"/>
    <x v="4"/>
    <n v="1"/>
    <n v="7"/>
  </r>
  <r>
    <s v="C192"/>
    <d v="2025-07-29T00:00:00"/>
    <s v="07-2025"/>
    <s v="Clothing"/>
    <s v="Jacket"/>
    <n v="150.44"/>
    <x v="0"/>
    <n v="1"/>
    <n v="7"/>
  </r>
  <r>
    <s v="C024"/>
    <d v="2025-08-12T00:00:00"/>
    <s v="08-2025"/>
    <s v="Electronics"/>
    <s v="Smartphone"/>
    <n v="494.26"/>
    <x v="6"/>
    <n v="1"/>
    <n v="3"/>
  </r>
  <r>
    <s v="C192"/>
    <d v="2025-11-30T00:00:00"/>
    <s v="11-2025"/>
    <s v="Home"/>
    <s v="Toaster"/>
    <n v="217.16"/>
    <x v="2"/>
    <n v="1"/>
    <n v="7"/>
  </r>
  <r>
    <s v="C092"/>
    <d v="2025-10-22T00:00:00"/>
    <s v="10-2025"/>
    <s v="Clothing"/>
    <s v="Jacket"/>
    <n v="468.53"/>
    <x v="1"/>
    <n v="1"/>
    <n v="5"/>
  </r>
  <r>
    <s v="C019"/>
    <d v="2025-10-30T00:00:00"/>
    <s v="10-2025"/>
    <s v="Beauty"/>
    <s v="Lotion"/>
    <n v="110.73"/>
    <x v="6"/>
    <n v="1"/>
    <n v="6"/>
  </r>
  <r>
    <s v="C037"/>
    <d v="2025-02-26T00:00:00"/>
    <s v="02-2025"/>
    <s v="Sports"/>
    <s v="Sneakers"/>
    <n v="101.45"/>
    <x v="0"/>
    <n v="1"/>
    <n v="5"/>
  </r>
  <r>
    <s v="C169"/>
    <d v="2025-04-07T00:00:00"/>
    <s v="04-2025"/>
    <s v="Electronics"/>
    <s v="Mouse"/>
    <n v="122.61"/>
    <x v="1"/>
    <n v="1"/>
    <n v="5"/>
  </r>
  <r>
    <s v="C194"/>
    <d v="2025-03-15T00:00:00"/>
    <s v="03-2025"/>
    <s v="Sports"/>
    <s v="Soccer Ball"/>
    <n v="198.81"/>
    <x v="4"/>
    <n v="1"/>
    <n v="7"/>
  </r>
  <r>
    <s v="C078"/>
    <d v="2025-07-05T00:00:00"/>
    <s v="07-2025"/>
    <s v="Sports"/>
    <s v="Tennis Racket"/>
    <n v="350.08"/>
    <x v="2"/>
    <n v="1"/>
    <n v="5"/>
  </r>
  <r>
    <s v="C036"/>
    <d v="2025-09-09T00:00:00"/>
    <s v="09-2025"/>
    <s v="Electronics"/>
    <s v="Headphones"/>
    <n v="170.16"/>
    <x v="3"/>
    <n v="1"/>
    <n v="4"/>
  </r>
  <r>
    <s v="C163"/>
    <d v="2025-03-17T00:00:00"/>
    <s v="03-2025"/>
    <s v="Beauty"/>
    <s v="Lipstick"/>
    <n v="94.81"/>
    <x v="0"/>
    <n v="0"/>
    <n v="1"/>
  </r>
  <r>
    <s v="C101"/>
    <d v="2025-05-27T00:00:00"/>
    <s v="05-2025"/>
    <s v="Sports"/>
    <s v="Yoga Mat"/>
    <n v="398.3"/>
    <x v="5"/>
    <n v="1"/>
    <n v="6"/>
  </r>
  <r>
    <s v="C084"/>
    <d v="2025-12-12T00:00:00"/>
    <s v="12-2025"/>
    <s v="Beauty"/>
    <s v="Perfume"/>
    <n v="468.62"/>
    <x v="2"/>
    <n v="1"/>
    <n v="5"/>
  </r>
  <r>
    <s v="C161"/>
    <d v="2025-08-20T00:00:00"/>
    <s v="08-2025"/>
    <s v="Home"/>
    <s v="Chair"/>
    <n v="27.69"/>
    <x v="3"/>
    <n v="1"/>
    <n v="5"/>
  </r>
  <r>
    <s v="C044"/>
    <d v="2025-11-26T00:00:00"/>
    <s v="11-2025"/>
    <s v="Beauty"/>
    <s v="Shampoo"/>
    <n v="373.87"/>
    <x v="1"/>
    <n v="1"/>
    <n v="3"/>
  </r>
  <r>
    <s v="C001"/>
    <d v="2025-12-25T00:00:00"/>
    <s v="12-2025"/>
    <s v="Beauty"/>
    <s v="Perfume"/>
    <n v="413.98"/>
    <x v="6"/>
    <n v="1"/>
    <n v="4"/>
  </r>
  <r>
    <s v="C020"/>
    <d v="2025-03-18T00:00:00"/>
    <s v="03-2025"/>
    <s v="Electronics"/>
    <s v="Smartphone"/>
    <n v="340.65"/>
    <x v="0"/>
    <n v="1"/>
    <n v="5"/>
  </r>
  <r>
    <s v="C006"/>
    <d v="2025-09-26T00:00:00"/>
    <s v="09-2025"/>
    <s v="Beauty"/>
    <s v="Shampoo"/>
    <n v="393.06"/>
    <x v="2"/>
    <n v="1"/>
    <n v="6"/>
  </r>
  <r>
    <s v="C113"/>
    <d v="2025-05-12T00:00:00"/>
    <s v="05-2025"/>
    <s v="Sports"/>
    <s v="Tennis Racket"/>
    <n v="198.62"/>
    <x v="6"/>
    <n v="1"/>
    <n v="5"/>
  </r>
  <r>
    <s v="C187"/>
    <d v="2025-11-09T00:00:00"/>
    <s v="11-2025"/>
    <s v="Electronics"/>
    <s v="Headphones"/>
    <n v="13.02"/>
    <x v="3"/>
    <n v="1"/>
    <n v="5"/>
  </r>
  <r>
    <s v="C194"/>
    <d v="2026-01-01T00:00:00"/>
    <s v="01-2026"/>
    <s v="Electronics"/>
    <s v="Headphones"/>
    <n v="65.709999999999994"/>
    <x v="6"/>
    <n v="1"/>
    <n v="7"/>
  </r>
  <r>
    <s v="C056"/>
    <d v="2025-05-14T00:00:00"/>
    <s v="05-2025"/>
    <s v="Clothing"/>
    <s v="Shoes"/>
    <n v="72.489999999999995"/>
    <x v="3"/>
    <n v="1"/>
    <n v="3"/>
  </r>
  <r>
    <s v="C099"/>
    <d v="2025-05-15T00:00:00"/>
    <s v="05-2025"/>
    <s v="Beauty"/>
    <s v="Shampoo"/>
    <n v="16.510000000000002"/>
    <x v="6"/>
    <n v="1"/>
    <n v="3"/>
  </r>
  <r>
    <s v="C097"/>
    <d v="2025-06-05T00:00:00"/>
    <s v="06-2025"/>
    <s v="Electronics"/>
    <s v="Mouse"/>
    <n v="468.9"/>
    <x v="0"/>
    <n v="1"/>
    <n v="2"/>
  </r>
  <r>
    <s v="C117"/>
    <d v="2025-07-15T00:00:00"/>
    <s v="07-2025"/>
    <s v="Beauty"/>
    <s v="Perfume"/>
    <n v="492.14"/>
    <x v="6"/>
    <n v="1"/>
    <n v="5"/>
  </r>
  <r>
    <s v="C092"/>
    <d v="2026-01-11T00:00:00"/>
    <s v="01-2026"/>
    <s v="Electronics"/>
    <s v="Laptop"/>
    <n v="57.01"/>
    <x v="2"/>
    <n v="1"/>
    <n v="5"/>
  </r>
  <r>
    <s v="C152"/>
    <d v="2026-02-20T00:00:00"/>
    <s v="02-2026"/>
    <s v="Clothing"/>
    <s v="Shoes"/>
    <n v="451.77"/>
    <x v="3"/>
    <n v="1"/>
    <n v="4"/>
  </r>
  <r>
    <s v="C117"/>
    <d v="2025-09-21T00:00:00"/>
    <s v="09-2025"/>
    <s v="Home"/>
    <s v="Lamp"/>
    <n v="197.98"/>
    <x v="6"/>
    <n v="1"/>
    <n v="5"/>
  </r>
  <r>
    <s v="C063"/>
    <d v="2026-02-01T00:00:00"/>
    <s v="02-2026"/>
    <s v="Beauty"/>
    <s v="Lipstick"/>
    <n v="450.25"/>
    <x v="2"/>
    <n v="1"/>
    <n v="4"/>
  </r>
  <r>
    <s v="C019"/>
    <d v="2026-01-13T00:00:00"/>
    <s v="01-2026"/>
    <s v="Home"/>
    <s v="Blender"/>
    <n v="144.99"/>
    <x v="1"/>
    <n v="1"/>
    <n v="6"/>
  </r>
  <r>
    <s v="C114"/>
    <d v="2025-04-15T00:00:00"/>
    <s v="04-2025"/>
    <s v="Beauty"/>
    <s v="Lotion"/>
    <n v="123.6"/>
    <x v="4"/>
    <n v="1"/>
    <n v="4"/>
  </r>
  <r>
    <s v="C171"/>
    <d v="2025-06-08T00:00:00"/>
    <s v="06-2025"/>
    <s v="Clothing"/>
    <s v="Sweater"/>
    <n v="437.47"/>
    <x v="0"/>
    <n v="1"/>
    <n v="3"/>
  </r>
  <r>
    <s v="C158"/>
    <d v="2026-01-05T00:00:00"/>
    <s v="01-2026"/>
    <s v="Beauty"/>
    <s v="Shampoo"/>
    <n v="115"/>
    <x v="1"/>
    <n v="1"/>
    <n v="5"/>
  </r>
  <r>
    <s v="C085"/>
    <d v="2025-09-03T00:00:00"/>
    <s v="09-2025"/>
    <s v="Clothing"/>
    <s v="Jeans"/>
    <n v="497.78"/>
    <x v="5"/>
    <n v="1"/>
    <n v="4"/>
  </r>
  <r>
    <s v="C046"/>
    <d v="2025-07-26T00:00:00"/>
    <s v="07-2025"/>
    <s v="Electronics"/>
    <s v="Keyboard"/>
    <n v="188.22"/>
    <x v="5"/>
    <n v="0"/>
    <n v="1"/>
  </r>
  <r>
    <s v="C173"/>
    <d v="2026-01-10T00:00:00"/>
    <s v="01-2026"/>
    <s v="Beauty"/>
    <s v="Foundation"/>
    <n v="258.57"/>
    <x v="6"/>
    <n v="0"/>
    <n v="1"/>
  </r>
  <r>
    <s v="C009"/>
    <d v="2025-08-23T00:00:00"/>
    <s v="08-2025"/>
    <s v="Clothing"/>
    <s v="Shoes"/>
    <n v="107.38"/>
    <x v="4"/>
    <n v="1"/>
    <n v="2"/>
  </r>
  <r>
    <s v="C041"/>
    <d v="2025-06-10T00:00:00"/>
    <s v="06-2025"/>
    <s v="Electronics"/>
    <s v="Headphones"/>
    <n v="141.26"/>
    <x v="4"/>
    <n v="1"/>
    <n v="4"/>
  </r>
  <r>
    <s v="C120"/>
    <d v="2026-01-15T00:00:00"/>
    <s v="01-2026"/>
    <s v="Electronics"/>
    <s v="Mouse"/>
    <n v="261.98"/>
    <x v="0"/>
    <n v="0"/>
    <n v="1"/>
  </r>
  <r>
    <s v="C130"/>
    <d v="2025-12-30T00:00:00"/>
    <s v="12-2025"/>
    <s v="Clothing"/>
    <s v="Jacket"/>
    <n v="486.37"/>
    <x v="5"/>
    <n v="1"/>
    <n v="5"/>
  </r>
  <r>
    <s v="C044"/>
    <d v="2025-03-21T00:00:00"/>
    <s v="03-2025"/>
    <s v="Electronics"/>
    <s v="Smartphone"/>
    <n v="321.88"/>
    <x v="1"/>
    <n v="1"/>
    <n v="3"/>
  </r>
  <r>
    <s v="C111"/>
    <d v="2026-02-03T00:00:00"/>
    <s v="02-2026"/>
    <s v="Electronics"/>
    <s v="Headphones"/>
    <n v="58.65"/>
    <x v="0"/>
    <n v="1"/>
    <n v="6"/>
  </r>
  <r>
    <s v="C153"/>
    <d v="2025-10-09T00:00:00"/>
    <s v="10-2025"/>
    <s v="Home"/>
    <s v="Chair"/>
    <n v="447.48"/>
    <x v="1"/>
    <n v="1"/>
    <n v="3"/>
  </r>
  <r>
    <s v="C167"/>
    <d v="2025-06-23T00:00:00"/>
    <s v="06-2025"/>
    <s v="Clothing"/>
    <s v="Shoes"/>
    <n v="97.1"/>
    <x v="5"/>
    <n v="1"/>
    <n v="3"/>
  </r>
  <r>
    <s v="C121"/>
    <d v="2025-11-23T00:00:00"/>
    <s v="11-2025"/>
    <s v="Sports"/>
    <s v="Dumbbells"/>
    <n v="416.64"/>
    <x v="2"/>
    <n v="1"/>
    <n v="4"/>
  </r>
  <r>
    <s v="C154"/>
    <d v="2025-10-17T00:00:00"/>
    <s v="10-2025"/>
    <s v="Clothing"/>
    <s v="Sweater"/>
    <n v="408.38"/>
    <x v="5"/>
    <n v="1"/>
    <n v="3"/>
  </r>
  <r>
    <s v="C081"/>
    <d v="2025-08-15T00:00:00"/>
    <s v="08-2025"/>
    <s v="Clothing"/>
    <s v="Shoes"/>
    <n v="406.89"/>
    <x v="6"/>
    <n v="1"/>
    <n v="4"/>
  </r>
  <r>
    <s v="C063"/>
    <d v="2025-08-10T00:00:00"/>
    <s v="08-2025"/>
    <s v="Clothing"/>
    <s v="Jeans"/>
    <n v="324.14999999999998"/>
    <x v="6"/>
    <n v="1"/>
    <n v="4"/>
  </r>
  <r>
    <s v="C055"/>
    <d v="2026-01-15T00:00:00"/>
    <s v="01-2026"/>
    <s v="Home"/>
    <s v="Microwave"/>
    <n v="465.57"/>
    <x v="2"/>
    <n v="1"/>
    <n v="5"/>
  </r>
  <r>
    <s v="C138"/>
    <d v="2026-02-08T00:00:00"/>
    <s v="02-2026"/>
    <s v="Sports"/>
    <s v="Tennis Racket"/>
    <n v="448.16"/>
    <x v="2"/>
    <n v="1"/>
    <n v="4"/>
  </r>
  <r>
    <s v="C091"/>
    <d v="2026-01-05T00:00:00"/>
    <s v="01-2026"/>
    <s v="Beauty"/>
    <s v="Lipstick"/>
    <n v="436.06"/>
    <x v="2"/>
    <n v="1"/>
    <n v="5"/>
  </r>
  <r>
    <s v="C184"/>
    <d v="2025-05-28T00:00:00"/>
    <s v="05-2025"/>
    <s v="Electronics"/>
    <s v="Mouse"/>
    <n v="19.55"/>
    <x v="5"/>
    <n v="1"/>
    <n v="2"/>
  </r>
  <r>
    <s v="C082"/>
    <d v="2026-02-05T00:00:00"/>
    <s v="02-2026"/>
    <s v="Electronics"/>
    <s v="Mouse"/>
    <n v="160.74"/>
    <x v="0"/>
    <n v="1"/>
    <n v="6"/>
  </r>
  <r>
    <s v="C006"/>
    <d v="2025-12-24T00:00:00"/>
    <s v="12-2025"/>
    <s v="Beauty"/>
    <s v="Perfume"/>
    <n v="27.41"/>
    <x v="5"/>
    <n v="1"/>
    <n v="6"/>
  </r>
  <r>
    <s v="C183"/>
    <d v="2025-03-05T00:00:00"/>
    <s v="03-2025"/>
    <s v="Electronics"/>
    <s v="Mouse"/>
    <n v="430.66"/>
    <x v="5"/>
    <n v="1"/>
    <n v="9"/>
  </r>
  <r>
    <s v="C036"/>
    <d v="2025-08-20T00:00:00"/>
    <s v="08-2025"/>
    <s v="Clothing"/>
    <s v="T-shirt"/>
    <n v="215.51"/>
    <x v="1"/>
    <n v="1"/>
    <n v="4"/>
  </r>
  <r>
    <s v="C035"/>
    <d v="2025-10-20T00:00:00"/>
    <s v="10-2025"/>
    <s v="Clothing"/>
    <s v="T-shirt"/>
    <n v="377.18"/>
    <x v="3"/>
    <n v="1"/>
    <n v="2"/>
  </r>
  <r>
    <s v="C025"/>
    <d v="2025-04-16T00:00:00"/>
    <s v="04-2025"/>
    <s v="Home"/>
    <s v="Lamp"/>
    <n v="411.2"/>
    <x v="6"/>
    <n v="1"/>
    <n v="6"/>
  </r>
  <r>
    <s v="C016"/>
    <d v="2025-04-02T00:00:00"/>
    <s v="04-2025"/>
    <s v="Electronics"/>
    <s v="Headphones"/>
    <n v="137.6"/>
    <x v="3"/>
    <n v="1"/>
    <n v="9"/>
  </r>
  <r>
    <s v="C003"/>
    <d v="2025-05-16T00:00:00"/>
    <s v="05-2025"/>
    <s v="Beauty"/>
    <s v="Lipstick"/>
    <n v="167.03"/>
    <x v="4"/>
    <n v="1"/>
    <n v="5"/>
  </r>
  <r>
    <s v="C010"/>
    <d v="2025-09-17T00:00:00"/>
    <s v="09-2025"/>
    <s v="Sports"/>
    <s v="Yoga Mat"/>
    <n v="30.14"/>
    <x v="0"/>
    <n v="1"/>
    <n v="3"/>
  </r>
  <r>
    <s v="C198"/>
    <d v="2025-10-28T00:00:00"/>
    <s v="10-2025"/>
    <s v="Clothing"/>
    <s v="Shoes"/>
    <n v="50.87"/>
    <x v="0"/>
    <n v="1"/>
    <n v="5"/>
  </r>
  <r>
    <s v="C077"/>
    <d v="2025-10-30T00:00:00"/>
    <s v="10-2025"/>
    <s v="Clothing"/>
    <s v="Jacket"/>
    <n v="233.44"/>
    <x v="3"/>
    <n v="1"/>
    <n v="3"/>
  </r>
  <r>
    <s v="C006"/>
    <d v="2025-12-26T00:00:00"/>
    <s v="12-2025"/>
    <s v="Sports"/>
    <s v="Sneakers"/>
    <n v="477.06"/>
    <x v="0"/>
    <n v="1"/>
    <n v="6"/>
  </r>
  <r>
    <s v="C143"/>
    <d v="2025-08-31T00:00:00"/>
    <s v="08-2025"/>
    <s v="Clothing"/>
    <s v="Jeans"/>
    <n v="132.33000000000001"/>
    <x v="3"/>
    <n v="1"/>
    <n v="5"/>
  </r>
  <r>
    <s v="C183"/>
    <d v="2025-08-07T00:00:00"/>
    <s v="08-2025"/>
    <s v="Clothing"/>
    <s v="Jeans"/>
    <n v="404.55"/>
    <x v="1"/>
    <n v="1"/>
    <n v="9"/>
  </r>
  <r>
    <s v="C115"/>
    <d v="2025-02-26T00:00:00"/>
    <s v="02-2025"/>
    <s v="Electronics"/>
    <s v="Mouse"/>
    <n v="41.66"/>
    <x v="0"/>
    <n v="1"/>
    <n v="2"/>
  </r>
  <r>
    <s v="C138"/>
    <d v="2025-08-07T00:00:00"/>
    <s v="08-2025"/>
    <s v="Home"/>
    <s v="Toaster"/>
    <n v="103.68"/>
    <x v="5"/>
    <n v="1"/>
    <n v="4"/>
  </r>
  <r>
    <s v="C187"/>
    <d v="2025-12-19T00:00:00"/>
    <s v="12-2025"/>
    <s v="Electronics"/>
    <s v="Mouse"/>
    <n v="362.23"/>
    <x v="6"/>
    <n v="1"/>
    <n v="5"/>
  </r>
  <r>
    <s v="C057"/>
    <d v="2026-02-22T00:00:00"/>
    <s v="02-2026"/>
    <s v="Clothing"/>
    <s v="Jacket"/>
    <n v="224.18"/>
    <x v="5"/>
    <n v="1"/>
    <n v="10"/>
  </r>
  <r>
    <s v="C021"/>
    <d v="2025-11-05T00:00:00"/>
    <s v="11-2025"/>
    <s v="Electronics"/>
    <s v="Mouse"/>
    <n v="361.65"/>
    <x v="0"/>
    <n v="1"/>
    <n v="2"/>
  </r>
  <r>
    <s v="C078"/>
    <d v="2025-09-15T00:00:00"/>
    <s v="09-2025"/>
    <s v="Home"/>
    <s v="Microwave"/>
    <n v="107.31"/>
    <x v="1"/>
    <n v="1"/>
    <n v="5"/>
  </r>
  <r>
    <s v="C054"/>
    <d v="2026-01-29T00:00:00"/>
    <s v="01-2026"/>
    <s v="Home"/>
    <s v="Toaster"/>
    <n v="483.13"/>
    <x v="4"/>
    <n v="1"/>
    <n v="3"/>
  </r>
  <r>
    <s v="C043"/>
    <d v="2026-02-05T00:00:00"/>
    <s v="02-2026"/>
    <s v="Home"/>
    <s v="Toaster"/>
    <n v="329.7"/>
    <x v="1"/>
    <n v="1"/>
    <n v="6"/>
  </r>
  <r>
    <s v="C085"/>
    <d v="2025-11-20T00:00:00"/>
    <s v="11-2025"/>
    <s v="Sports"/>
    <s v="Tennis Racket"/>
    <n v="150.28"/>
    <x v="6"/>
    <n v="1"/>
    <n v="4"/>
  </r>
  <r>
    <s v="C019"/>
    <d v="2025-11-28T00:00:00"/>
    <s v="11-2025"/>
    <s v="Clothing"/>
    <s v="T-shirt"/>
    <n v="205.96"/>
    <x v="4"/>
    <n v="1"/>
    <n v="6"/>
  </r>
  <r>
    <s v="C026"/>
    <d v="2025-12-30T00:00:00"/>
    <s v="12-2025"/>
    <s v="Clothing"/>
    <s v="T-shirt"/>
    <n v="230.64"/>
    <x v="4"/>
    <n v="1"/>
    <n v="3"/>
  </r>
  <r>
    <s v="C164"/>
    <d v="2026-01-12T00:00:00"/>
    <s v="01-2026"/>
    <s v="Sports"/>
    <s v="Tennis Racket"/>
    <n v="484.59"/>
    <x v="6"/>
    <n v="1"/>
    <n v="5"/>
  </r>
  <r>
    <s v="C117"/>
    <d v="2025-06-14T00:00:00"/>
    <s v="06-2025"/>
    <s v="Home"/>
    <s v="Chair"/>
    <n v="55.31"/>
    <x v="0"/>
    <n v="1"/>
    <n v="5"/>
  </r>
  <r>
    <s v="C092"/>
    <d v="2026-02-18T00:00:00"/>
    <s v="02-2026"/>
    <s v="Clothing"/>
    <s v="Shoes"/>
    <n v="390.38"/>
    <x v="4"/>
    <n v="1"/>
    <n v="5"/>
  </r>
  <r>
    <s v="C018"/>
    <d v="2026-01-02T00:00:00"/>
    <s v="01-2026"/>
    <s v="Electronics"/>
    <s v="Headphones"/>
    <n v="135.82"/>
    <x v="2"/>
    <n v="1"/>
    <n v="6"/>
  </r>
  <r>
    <s v="C143"/>
    <d v="2026-01-25T00:00:00"/>
    <s v="01-2026"/>
    <s v="Clothing"/>
    <s v="T-shirt"/>
    <n v="497.42"/>
    <x v="1"/>
    <n v="1"/>
    <n v="5"/>
  </r>
  <r>
    <s v="C110"/>
    <d v="2025-05-30T00:00:00"/>
    <s v="05-2025"/>
    <s v="Electronics"/>
    <s v="Laptop"/>
    <n v="201.9"/>
    <x v="4"/>
    <n v="1"/>
    <n v="3"/>
  </r>
  <r>
    <s v="C049"/>
    <d v="2025-10-22T00:00:00"/>
    <s v="10-2025"/>
    <s v="Beauty"/>
    <s v="Foundation"/>
    <n v="51.86"/>
    <x v="3"/>
    <n v="1"/>
    <n v="4"/>
  </r>
  <r>
    <s v="C006"/>
    <d v="2025-05-09T00:00:00"/>
    <s v="05-2025"/>
    <s v="Home"/>
    <s v="Lamp"/>
    <n v="370.99"/>
    <x v="5"/>
    <n v="1"/>
    <n v="6"/>
  </r>
  <r>
    <s v="C012"/>
    <d v="2025-04-10T00:00:00"/>
    <s v="04-2025"/>
    <s v="Sports"/>
    <s v="Yoga Mat"/>
    <n v="478.85"/>
    <x v="2"/>
    <n v="1"/>
    <n v="4"/>
  </r>
  <r>
    <s v="C054"/>
    <d v="2025-08-08T00:00:00"/>
    <s v="08-2025"/>
    <s v="Home"/>
    <s v="Blender"/>
    <n v="350.15"/>
    <x v="4"/>
    <n v="1"/>
    <n v="3"/>
  </r>
  <r>
    <s v="C018"/>
    <d v="2025-02-27T00:00:00"/>
    <s v="02-2025"/>
    <s v="Sports"/>
    <s v="Soccer Ball"/>
    <n v="309.37"/>
    <x v="0"/>
    <n v="1"/>
    <n v="6"/>
  </r>
  <r>
    <s v="C161"/>
    <d v="2025-11-08T00:00:00"/>
    <s v="11-2025"/>
    <s v="Beauty"/>
    <s v="Shampoo"/>
    <n v="236.42"/>
    <x v="3"/>
    <n v="1"/>
    <n v="5"/>
  </r>
  <r>
    <s v="C112"/>
    <d v="2025-12-21T00:00:00"/>
    <s v="12-2025"/>
    <s v="Electronics"/>
    <s v="Keyboard"/>
    <n v="424.27"/>
    <x v="2"/>
    <n v="1"/>
    <n v="6"/>
  </r>
  <r>
    <s v="C133"/>
    <d v="2025-12-06T00:00:00"/>
    <s v="12-2025"/>
    <s v="Home"/>
    <s v="Microwave"/>
    <n v="243.79"/>
    <x v="0"/>
    <n v="1"/>
    <n v="3"/>
  </r>
  <r>
    <s v="C159"/>
    <d v="2025-06-27T00:00:00"/>
    <s v="06-2025"/>
    <s v="Home"/>
    <s v="Microwave"/>
    <n v="382.24"/>
    <x v="0"/>
    <n v="1"/>
    <n v="5"/>
  </r>
  <r>
    <s v="C169"/>
    <d v="2025-09-23T00:00:00"/>
    <s v="09-2025"/>
    <s v="Beauty"/>
    <s v="Lipstick"/>
    <n v="334.49"/>
    <x v="6"/>
    <n v="1"/>
    <n v="5"/>
  </r>
  <r>
    <s v="C134"/>
    <d v="2025-10-29T00:00:00"/>
    <s v="10-2025"/>
    <s v="Beauty"/>
    <s v="Lipstick"/>
    <n v="195.42"/>
    <x v="6"/>
    <n v="1"/>
    <n v="6"/>
  </r>
  <r>
    <s v="C106"/>
    <d v="2025-12-03T00:00:00"/>
    <s v="12-2025"/>
    <s v="Electronics"/>
    <s v="Keyboard"/>
    <n v="124.46"/>
    <x v="6"/>
    <n v="1"/>
    <n v="5"/>
  </r>
  <r>
    <s v="C127"/>
    <d v="2025-08-31T00:00:00"/>
    <s v="08-2025"/>
    <s v="Electronics"/>
    <s v="Mouse"/>
    <n v="411.45"/>
    <x v="2"/>
    <n v="1"/>
    <n v="5"/>
  </r>
  <r>
    <s v="C187"/>
    <d v="2025-03-14T00:00:00"/>
    <s v="03-2025"/>
    <s v="Sports"/>
    <s v="Sneakers"/>
    <n v="295.19"/>
    <x v="3"/>
    <n v="1"/>
    <n v="5"/>
  </r>
  <r>
    <s v="C084"/>
    <d v="2025-09-28T00:00:00"/>
    <s v="09-2025"/>
    <s v="Beauty"/>
    <s v="Foundation"/>
    <n v="345.21"/>
    <x v="4"/>
    <n v="1"/>
    <n v="5"/>
  </r>
  <r>
    <s v="C197"/>
    <d v="2025-12-30T00:00:00"/>
    <s v="12-2025"/>
    <s v="Clothing"/>
    <s v="T-shirt"/>
    <n v="454.2"/>
    <x v="1"/>
    <n v="1"/>
    <n v="4"/>
  </r>
  <r>
    <s v="C187"/>
    <d v="2025-06-07T00:00:00"/>
    <s v="06-2025"/>
    <s v="Electronics"/>
    <s v="Laptop"/>
    <n v="248.84"/>
    <x v="2"/>
    <n v="1"/>
    <n v="5"/>
  </r>
  <r>
    <s v="C181"/>
    <d v="2025-11-07T00:00:00"/>
    <s v="11-2025"/>
    <s v="Home"/>
    <s v="Toaster"/>
    <n v="465.4"/>
    <x v="1"/>
    <n v="1"/>
    <n v="3"/>
  </r>
  <r>
    <s v="C089"/>
    <d v="2025-08-30T00:00:00"/>
    <s v="08-2025"/>
    <s v="Beauty"/>
    <s v="Perfume"/>
    <n v="284.29000000000002"/>
    <x v="1"/>
    <n v="1"/>
    <n v="3"/>
  </r>
  <r>
    <s v="C086"/>
    <d v="2025-11-17T00:00:00"/>
    <s v="11-2025"/>
    <s v="Electronics"/>
    <s v="Headphones"/>
    <n v="471.23"/>
    <x v="2"/>
    <n v="1"/>
    <n v="4"/>
  </r>
  <r>
    <s v="C055"/>
    <d v="2026-01-03T00:00:00"/>
    <s v="01-2026"/>
    <s v="Home"/>
    <s v="Toaster"/>
    <n v="266.08999999999997"/>
    <x v="4"/>
    <n v="1"/>
    <n v="5"/>
  </r>
  <r>
    <s v="C119"/>
    <d v="2025-04-21T00:00:00"/>
    <s v="04-2025"/>
    <s v="Clothing"/>
    <s v="Jeans"/>
    <n v="252.91"/>
    <x v="2"/>
    <n v="1"/>
    <n v="6"/>
  </r>
  <r>
    <s v="C137"/>
    <d v="2025-10-04T00:00:00"/>
    <s v="10-2025"/>
    <s v="Sports"/>
    <s v="Sneakers"/>
    <n v="174.94"/>
    <x v="0"/>
    <n v="1"/>
    <n v="5"/>
  </r>
  <r>
    <s v="C105"/>
    <d v="2025-12-28T00:00:00"/>
    <s v="12-2025"/>
    <s v="Clothing"/>
    <s v="T-shirt"/>
    <n v="377.61"/>
    <x v="2"/>
    <n v="0"/>
    <n v="1"/>
  </r>
  <r>
    <s v="C072"/>
    <d v="2025-06-19T00:00:00"/>
    <s v="06-2025"/>
    <s v="Clothing"/>
    <s v="Jacket"/>
    <n v="216.75"/>
    <x v="1"/>
    <n v="1"/>
    <n v="4"/>
  </r>
  <r>
    <s v="C071"/>
    <d v="2026-01-28T00:00:00"/>
    <s v="01-2026"/>
    <s v="Electronics"/>
    <s v="Smartphone"/>
    <n v="200.83"/>
    <x v="5"/>
    <n v="1"/>
    <n v="6"/>
  </r>
  <r>
    <s v="C198"/>
    <d v="2025-11-12T00:00:00"/>
    <s v="11-2025"/>
    <s v="Beauty"/>
    <s v="Perfume"/>
    <n v="21.05"/>
    <x v="2"/>
    <n v="1"/>
    <n v="5"/>
  </r>
  <r>
    <s v="C111"/>
    <d v="2025-05-19T00:00:00"/>
    <s v="05-2025"/>
    <s v="Sports"/>
    <s v="Tennis Racket"/>
    <n v="321.77999999999997"/>
    <x v="6"/>
    <n v="1"/>
    <n v="6"/>
  </r>
  <r>
    <s v="C154"/>
    <d v="2025-10-20T00:00:00"/>
    <s v="10-2025"/>
    <s v="Sports"/>
    <s v="Soccer Ball"/>
    <n v="318.88"/>
    <x v="5"/>
    <n v="1"/>
    <n v="3"/>
  </r>
  <r>
    <s v="C080"/>
    <d v="2025-08-16T00:00:00"/>
    <s v="08-2025"/>
    <s v="Beauty"/>
    <s v="Lipstick"/>
    <n v="19.25"/>
    <x v="1"/>
    <n v="1"/>
    <n v="2"/>
  </r>
  <r>
    <s v="C030"/>
    <d v="2025-04-28T00:00:00"/>
    <s v="04-2025"/>
    <s v="Electronics"/>
    <s v="Smartphone"/>
    <n v="98.58"/>
    <x v="4"/>
    <n v="1"/>
    <n v="3"/>
  </r>
  <r>
    <s v="C040"/>
    <d v="2025-04-18T00:00:00"/>
    <s v="04-2025"/>
    <s v="Clothing"/>
    <s v="T-shirt"/>
    <n v="300.70999999999998"/>
    <x v="4"/>
    <n v="1"/>
    <n v="4"/>
  </r>
  <r>
    <s v="C022"/>
    <d v="2026-01-26T00:00:00"/>
    <s v="01-2026"/>
    <s v="Electronics"/>
    <s v="Keyboard"/>
    <n v="330.51"/>
    <x v="4"/>
    <n v="1"/>
    <n v="2"/>
  </r>
  <r>
    <s v="C041"/>
    <d v="2025-06-21T00:00:00"/>
    <s v="06-2025"/>
    <s v="Sports"/>
    <s v="Soccer Ball"/>
    <n v="184.13"/>
    <x v="1"/>
    <n v="1"/>
    <n v="4"/>
  </r>
  <r>
    <s v="C174"/>
    <d v="2025-08-02T00:00:00"/>
    <s v="08-2025"/>
    <s v="Sports"/>
    <s v="Yoga Mat"/>
    <n v="445.78"/>
    <x v="5"/>
    <n v="1"/>
    <n v="3"/>
  </r>
  <r>
    <s v="C180"/>
    <d v="2025-03-31T00:00:00"/>
    <s v="03-2025"/>
    <s v="Beauty"/>
    <s v="Shampoo"/>
    <n v="252.44"/>
    <x v="2"/>
    <n v="1"/>
    <n v="6"/>
  </r>
  <r>
    <s v="C031"/>
    <d v="2025-05-10T00:00:00"/>
    <s v="05-2025"/>
    <s v="Beauty"/>
    <s v="Lotion"/>
    <n v="175.35"/>
    <x v="4"/>
    <n v="1"/>
    <n v="5"/>
  </r>
  <r>
    <s v="C162"/>
    <d v="2025-10-28T00:00:00"/>
    <s v="10-2025"/>
    <s v="Sports"/>
    <s v="Soccer Ball"/>
    <n v="228.2"/>
    <x v="5"/>
    <n v="1"/>
    <n v="4"/>
  </r>
  <r>
    <s v="C124"/>
    <d v="2025-09-18T00:00:00"/>
    <s v="09-2025"/>
    <s v="Clothing"/>
    <s v="Jacket"/>
    <n v="141.91"/>
    <x v="0"/>
    <n v="1"/>
    <n v="3"/>
  </r>
  <r>
    <s v="C017"/>
    <d v="2026-02-09T00:00:00"/>
    <s v="02-2026"/>
    <s v="Home"/>
    <s v="Blender"/>
    <n v="360.82"/>
    <x v="3"/>
    <n v="1"/>
    <n v="6"/>
  </r>
  <r>
    <s v="C184"/>
    <d v="2025-08-28T00:00:00"/>
    <s v="08-2025"/>
    <s v="Beauty"/>
    <s v="Foundation"/>
    <n v="89.4"/>
    <x v="3"/>
    <n v="1"/>
    <n v="2"/>
  </r>
  <r>
    <s v="C062"/>
    <d v="2026-01-24T00:00:00"/>
    <s v="01-2026"/>
    <s v="Home"/>
    <s v="Microwave"/>
    <n v="252.27"/>
    <x v="1"/>
    <n v="1"/>
    <n v="3"/>
  </r>
  <r>
    <s v="C051"/>
    <d v="2025-05-21T00:00:00"/>
    <s v="05-2025"/>
    <s v="Clothing"/>
    <s v="Sweater"/>
    <n v="448.07"/>
    <x v="1"/>
    <n v="1"/>
    <n v="3"/>
  </r>
  <r>
    <s v="C153"/>
    <d v="2025-02-23T00:00:00"/>
    <s v="02-2025"/>
    <s v="Beauty"/>
    <s v="Lotion"/>
    <n v="383.65"/>
    <x v="6"/>
    <n v="1"/>
    <n v="3"/>
  </r>
  <r>
    <s v="C176"/>
    <d v="2025-12-05T00:00:00"/>
    <s v="12-2025"/>
    <s v="Sports"/>
    <s v="Tennis Racket"/>
    <n v="182.34"/>
    <x v="2"/>
    <n v="0"/>
    <n v="1"/>
  </r>
  <r>
    <s v="C118"/>
    <d v="2025-09-13T00:00:00"/>
    <s v="09-2025"/>
    <s v="Electronics"/>
    <s v="Laptop"/>
    <n v="233.89"/>
    <x v="2"/>
    <n v="1"/>
    <n v="5"/>
  </r>
  <r>
    <s v="C099"/>
    <d v="2025-04-15T00:00:00"/>
    <s v="04-2025"/>
    <s v="Home"/>
    <s v="Lamp"/>
    <n v="287.17"/>
    <x v="0"/>
    <n v="1"/>
    <n v="3"/>
  </r>
  <r>
    <s v="C119"/>
    <d v="2025-11-16T00:00:00"/>
    <s v="11-2025"/>
    <s v="Beauty"/>
    <s v="Lipstick"/>
    <n v="354.61"/>
    <x v="1"/>
    <n v="1"/>
    <n v="6"/>
  </r>
  <r>
    <s v="C081"/>
    <d v="2025-06-28T00:00:00"/>
    <s v="06-2025"/>
    <s v="Electronics"/>
    <s v="Smartphone"/>
    <n v="77.97"/>
    <x v="1"/>
    <n v="1"/>
    <n v="4"/>
  </r>
  <r>
    <s v="C157"/>
    <d v="2025-12-06T00:00:00"/>
    <s v="12-2025"/>
    <s v="Beauty"/>
    <s v="Perfume"/>
    <n v="438.72"/>
    <x v="4"/>
    <n v="0"/>
    <n v="1"/>
  </r>
  <r>
    <s v="C199"/>
    <d v="2025-03-23T00:00:00"/>
    <s v="03-2025"/>
    <s v="Electronics"/>
    <s v="Laptop"/>
    <n v="429.97"/>
    <x v="2"/>
    <n v="1"/>
    <n v="7"/>
  </r>
  <r>
    <s v="C180"/>
    <d v="2025-03-28T00:00:00"/>
    <s v="03-2025"/>
    <s v="Beauty"/>
    <s v="Lotion"/>
    <n v="189.14"/>
    <x v="3"/>
    <n v="1"/>
    <n v="6"/>
  </r>
  <r>
    <s v="C111"/>
    <d v="2025-09-07T00:00:00"/>
    <s v="09-2025"/>
    <s v="Home"/>
    <s v="Blender"/>
    <n v="159.09"/>
    <x v="4"/>
    <n v="1"/>
    <n v="6"/>
  </r>
  <r>
    <s v="C002"/>
    <d v="2025-10-24T00:00:00"/>
    <s v="10-2025"/>
    <s v="Electronics"/>
    <s v="Headphones"/>
    <n v="476.7"/>
    <x v="2"/>
    <n v="1"/>
    <n v="3"/>
  </r>
  <r>
    <s v="C015"/>
    <d v="2025-12-05T00:00:00"/>
    <s v="12-2025"/>
    <s v="Home"/>
    <s v="Lamp"/>
    <n v="62.25"/>
    <x v="1"/>
    <n v="1"/>
    <n v="6"/>
  </r>
  <r>
    <s v="C133"/>
    <d v="2025-05-07T00:00:00"/>
    <s v="05-2025"/>
    <s v="Beauty"/>
    <s v="Shampoo"/>
    <n v="261.72000000000003"/>
    <x v="0"/>
    <n v="1"/>
    <n v="3"/>
  </r>
  <r>
    <s v="C017"/>
    <d v="2025-11-08T00:00:00"/>
    <s v="11-2025"/>
    <s v="Sports"/>
    <s v="Dumbbells"/>
    <n v="107.27"/>
    <x v="6"/>
    <n v="1"/>
    <n v="6"/>
  </r>
  <r>
    <s v="C180"/>
    <d v="2025-09-16T00:00:00"/>
    <s v="09-2025"/>
    <s v="Electronics"/>
    <s v="Laptop"/>
    <n v="237.6"/>
    <x v="3"/>
    <n v="1"/>
    <n v="6"/>
  </r>
  <r>
    <s v="C149"/>
    <d v="2026-01-10T00:00:00"/>
    <s v="01-2026"/>
    <s v="Sports"/>
    <s v="Tennis Racket"/>
    <n v="317.25"/>
    <x v="4"/>
    <n v="0"/>
    <n v="1"/>
  </r>
  <r>
    <s v="C040"/>
    <d v="2025-10-07T00:00:00"/>
    <s v="10-2025"/>
    <s v="Sports"/>
    <s v="Yoga Mat"/>
    <n v="416.7"/>
    <x v="4"/>
    <n v="1"/>
    <n v="4"/>
  </r>
  <r>
    <s v="C020"/>
    <d v="2025-10-07T00:00:00"/>
    <s v="10-2025"/>
    <s v="Sports"/>
    <s v="Yoga Mat"/>
    <n v="27.12"/>
    <x v="4"/>
    <n v="1"/>
    <n v="5"/>
  </r>
  <r>
    <s v="C134"/>
    <d v="2025-08-18T00:00:00"/>
    <s v="08-2025"/>
    <s v="Electronics"/>
    <s v="Mouse"/>
    <n v="463.02"/>
    <x v="0"/>
    <n v="1"/>
    <n v="6"/>
  </r>
  <r>
    <s v="C148"/>
    <d v="2025-12-07T00:00:00"/>
    <s v="12-2025"/>
    <s v="Sports"/>
    <s v="Dumbbells"/>
    <n v="195.5"/>
    <x v="5"/>
    <n v="1"/>
    <n v="4"/>
  </r>
  <r>
    <s v="C061"/>
    <d v="2025-09-13T00:00:00"/>
    <s v="09-2025"/>
    <s v="Sports"/>
    <s v="Sneakers"/>
    <n v="269.82"/>
    <x v="4"/>
    <n v="1"/>
    <n v="4"/>
  </r>
  <r>
    <s v="C124"/>
    <d v="2025-10-12T00:00:00"/>
    <s v="10-2025"/>
    <s v="Electronics"/>
    <s v="Mouse"/>
    <n v="319.85000000000002"/>
    <x v="6"/>
    <n v="1"/>
    <n v="3"/>
  </r>
  <r>
    <s v="C112"/>
    <d v="2025-07-19T00:00:00"/>
    <s v="07-2025"/>
    <s v="Electronics"/>
    <s v="Mouse"/>
    <n v="68"/>
    <x v="4"/>
    <n v="1"/>
    <n v="6"/>
  </r>
  <r>
    <s v="C196"/>
    <d v="2025-05-21T00:00:00"/>
    <s v="05-2025"/>
    <s v="Sports"/>
    <s v="Dumbbells"/>
    <n v="30.36"/>
    <x v="1"/>
    <n v="1"/>
    <n v="5"/>
  </r>
  <r>
    <s v="C041"/>
    <d v="2025-10-08T00:00:00"/>
    <s v="10-2025"/>
    <s v="Home"/>
    <s v="Chair"/>
    <n v="400.19"/>
    <x v="2"/>
    <n v="1"/>
    <n v="4"/>
  </r>
  <r>
    <s v="C075"/>
    <d v="2025-11-15T00:00:00"/>
    <s v="11-2025"/>
    <s v="Beauty"/>
    <s v="Shampoo"/>
    <n v="208.82"/>
    <x v="1"/>
    <n v="1"/>
    <n v="8"/>
  </r>
  <r>
    <s v="C051"/>
    <d v="2025-11-24T00:00:00"/>
    <s v="11-2025"/>
    <s v="Electronics"/>
    <s v="Headphones"/>
    <n v="157.69"/>
    <x v="6"/>
    <n v="1"/>
    <n v="3"/>
  </r>
  <r>
    <s v="C119"/>
    <d v="2025-11-16T00:00:00"/>
    <s v="11-2025"/>
    <s v="Clothing"/>
    <s v="Shoes"/>
    <n v="258.88"/>
    <x v="2"/>
    <n v="1"/>
    <n v="6"/>
  </r>
  <r>
    <s v="C089"/>
    <d v="2025-07-02T00:00:00"/>
    <s v="07-2025"/>
    <s v="Beauty"/>
    <s v="Lipstick"/>
    <n v="420.86"/>
    <x v="2"/>
    <n v="1"/>
    <n v="3"/>
  </r>
  <r>
    <s v="C001"/>
    <d v="2025-11-24T00:00:00"/>
    <s v="11-2025"/>
    <s v="Beauty"/>
    <s v="Foundation"/>
    <n v="193.56"/>
    <x v="1"/>
    <n v="1"/>
    <n v="4"/>
  </r>
  <r>
    <s v="C058"/>
    <d v="2025-12-28T00:00:00"/>
    <s v="12-2025"/>
    <s v="Electronics"/>
    <s v="Mouse"/>
    <n v="128.12"/>
    <x v="2"/>
    <n v="1"/>
    <n v="4"/>
  </r>
  <r>
    <s v="C057"/>
    <d v="2026-01-20T00:00:00"/>
    <s v="01-2026"/>
    <s v="Clothing"/>
    <s v="Sweater"/>
    <n v="187.05"/>
    <x v="2"/>
    <n v="1"/>
    <n v="10"/>
  </r>
  <r>
    <s v="C072"/>
    <d v="2025-10-11T00:00:00"/>
    <s v="10-2025"/>
    <s v="Beauty"/>
    <s v="Shampoo"/>
    <n v="259.45999999999998"/>
    <x v="0"/>
    <n v="1"/>
    <n v="4"/>
  </r>
  <r>
    <s v="C074"/>
    <d v="2025-05-21T00:00:00"/>
    <s v="05-2025"/>
    <s v="Clothing"/>
    <s v="T-shirt"/>
    <n v="404.69"/>
    <x v="0"/>
    <n v="1"/>
    <n v="2"/>
  </r>
  <r>
    <s v="C082"/>
    <d v="2025-12-19T00:00:00"/>
    <s v="12-2025"/>
    <s v="Home"/>
    <s v="Blender"/>
    <n v="391.49"/>
    <x v="1"/>
    <n v="1"/>
    <n v="6"/>
  </r>
  <r>
    <s v="C194"/>
    <d v="2025-06-22T00:00:00"/>
    <s v="06-2025"/>
    <s v="Sports"/>
    <s v="Sneakers"/>
    <n v="383.44"/>
    <x v="0"/>
    <n v="1"/>
    <n v="7"/>
  </r>
  <r>
    <s v="C031"/>
    <d v="2026-01-18T00:00:00"/>
    <s v="01-2026"/>
    <s v="Electronics"/>
    <s v="Keyboard"/>
    <n v="189.69"/>
    <x v="0"/>
    <n v="1"/>
    <n v="5"/>
  </r>
  <r>
    <s v="C077"/>
    <d v="2025-07-31T00:00:00"/>
    <s v="07-2025"/>
    <s v="Electronics"/>
    <s v="Headphones"/>
    <n v="204.64"/>
    <x v="1"/>
    <n v="1"/>
    <n v="3"/>
  </r>
  <r>
    <s v="C121"/>
    <d v="2025-08-06T00:00:00"/>
    <s v="08-2025"/>
    <s v="Sports"/>
    <s v="Yoga Mat"/>
    <n v="185.19"/>
    <x v="1"/>
    <n v="1"/>
    <n v="4"/>
  </r>
  <r>
    <s v="C103"/>
    <d v="2025-11-25T00:00:00"/>
    <s v="11-2025"/>
    <s v="Electronics"/>
    <s v="Smartphone"/>
    <n v="469.11"/>
    <x v="0"/>
    <n v="1"/>
    <n v="3"/>
  </r>
  <r>
    <s v="C071"/>
    <d v="2025-06-02T00:00:00"/>
    <s v="06-2025"/>
    <s v="Home"/>
    <s v="Lamp"/>
    <n v="96.8"/>
    <x v="4"/>
    <n v="1"/>
    <n v="6"/>
  </r>
  <r>
    <s v="C119"/>
    <d v="2025-09-04T00:00:00"/>
    <s v="09-2025"/>
    <s v="Sports"/>
    <s v="Soccer Ball"/>
    <n v="440.73"/>
    <x v="2"/>
    <n v="1"/>
    <n v="6"/>
  </r>
  <r>
    <s v="C008"/>
    <d v="2025-04-09T00:00:00"/>
    <s v="04-2025"/>
    <s v="Beauty"/>
    <s v="Perfume"/>
    <n v="274.14"/>
    <x v="1"/>
    <n v="1"/>
    <n v="4"/>
  </r>
  <r>
    <s v="C143"/>
    <d v="2025-11-03T00:00:00"/>
    <s v="11-2025"/>
    <s v="Beauty"/>
    <s v="Lipstick"/>
    <n v="241.28"/>
    <x v="6"/>
    <n v="1"/>
    <n v="5"/>
  </r>
  <r>
    <s v="C136"/>
    <d v="2025-05-09T00:00:00"/>
    <s v="05-2025"/>
    <s v="Home"/>
    <s v="Chair"/>
    <n v="400.87"/>
    <x v="3"/>
    <n v="1"/>
    <n v="3"/>
  </r>
  <r>
    <s v="C183"/>
    <d v="2025-08-15T00:00:00"/>
    <s v="08-2025"/>
    <s v="Electronics"/>
    <s v="Headphones"/>
    <n v="355.59"/>
    <x v="2"/>
    <n v="1"/>
    <n v="9"/>
  </r>
  <r>
    <s v="C070"/>
    <d v="2025-02-28T00:00:00"/>
    <s v="02-2025"/>
    <s v="Home"/>
    <s v="Blender"/>
    <n v="238.22"/>
    <x v="5"/>
    <n v="1"/>
    <n v="4"/>
  </r>
  <r>
    <s v="C136"/>
    <d v="2025-08-04T00:00:00"/>
    <s v="08-2025"/>
    <s v="Electronics"/>
    <s v="Headphones"/>
    <n v="462.34"/>
    <x v="3"/>
    <n v="1"/>
    <n v="3"/>
  </r>
  <r>
    <s v="C165"/>
    <d v="2026-01-22T00:00:00"/>
    <s v="01-2026"/>
    <s v="Electronics"/>
    <s v="Keyboard"/>
    <n v="429.63"/>
    <x v="4"/>
    <n v="1"/>
    <n v="3"/>
  </r>
  <r>
    <s v="C152"/>
    <d v="2025-10-26T00:00:00"/>
    <s v="10-2025"/>
    <s v="Electronics"/>
    <s v="Headphones"/>
    <n v="129.02000000000001"/>
    <x v="0"/>
    <n v="1"/>
    <n v="4"/>
  </r>
  <r>
    <s v="C102"/>
    <d v="2026-01-31T00:00:00"/>
    <s v="01-2026"/>
    <s v="Home"/>
    <s v="Blender"/>
    <n v="76.069999999999993"/>
    <x v="1"/>
    <n v="1"/>
    <n v="5"/>
  </r>
  <r>
    <s v="C078"/>
    <d v="2025-08-14T00:00:00"/>
    <s v="08-2025"/>
    <s v="Clothing"/>
    <s v="Sweater"/>
    <n v="49.66"/>
    <x v="4"/>
    <n v="1"/>
    <n v="5"/>
  </r>
  <r>
    <s v="C140"/>
    <d v="2025-08-04T00:00:00"/>
    <s v="08-2025"/>
    <s v="Home"/>
    <s v="Chair"/>
    <n v="424.94"/>
    <x v="5"/>
    <n v="1"/>
    <n v="5"/>
  </r>
  <r>
    <s v="C039"/>
    <d v="2026-01-20T00:00:00"/>
    <s v="01-2026"/>
    <s v="Clothing"/>
    <s v="Jeans"/>
    <n v="160.07"/>
    <x v="0"/>
    <n v="1"/>
    <n v="2"/>
  </r>
  <r>
    <s v="C109"/>
    <d v="2025-08-18T00:00:00"/>
    <s v="08-2025"/>
    <s v="Clothing"/>
    <s v="Shoes"/>
    <n v="243.83"/>
    <x v="0"/>
    <n v="1"/>
    <n v="4"/>
  </r>
  <r>
    <s v="C113"/>
    <d v="2025-10-05T00:00:00"/>
    <s v="10-2025"/>
    <s v="Sports"/>
    <s v="Soccer Ball"/>
    <n v="38.75"/>
    <x v="0"/>
    <n v="1"/>
    <n v="5"/>
  </r>
  <r>
    <s v="C169"/>
    <d v="2025-11-11T00:00:00"/>
    <s v="11-2025"/>
    <s v="Home"/>
    <s v="Chair"/>
    <n v="445.09"/>
    <x v="4"/>
    <n v="1"/>
    <n v="5"/>
  </r>
  <r>
    <s v="C112"/>
    <d v="2025-08-07T00:00:00"/>
    <s v="08-2025"/>
    <s v="Electronics"/>
    <s v="Keyboard"/>
    <n v="417.43"/>
    <x v="6"/>
    <n v="1"/>
    <n v="6"/>
  </r>
  <r>
    <s v="C079"/>
    <d v="2025-03-23T00:00:00"/>
    <s v="03-2025"/>
    <s v="Clothing"/>
    <s v="Sweater"/>
    <n v="141.72999999999999"/>
    <x v="0"/>
    <n v="1"/>
    <n v="3"/>
  </r>
  <r>
    <s v="C130"/>
    <d v="2025-08-08T00:00:00"/>
    <s v="08-2025"/>
    <s v="Sports"/>
    <s v="Yoga Mat"/>
    <n v="339.32"/>
    <x v="1"/>
    <n v="1"/>
    <n v="5"/>
  </r>
  <r>
    <s v="C037"/>
    <d v="2026-02-01T00:00:00"/>
    <s v="02-2026"/>
    <s v="Home"/>
    <s v="Chair"/>
    <n v="434.12"/>
    <x v="0"/>
    <n v="1"/>
    <n v="5"/>
  </r>
  <r>
    <s v="C143"/>
    <d v="2025-08-22T00:00:00"/>
    <s v="08-2025"/>
    <s v="Beauty"/>
    <s v="Lipstick"/>
    <n v="336.33"/>
    <x v="1"/>
    <n v="1"/>
    <n v="5"/>
  </r>
  <r>
    <s v="C084"/>
    <d v="2025-11-09T00:00:00"/>
    <s v="11-2025"/>
    <s v="Home"/>
    <s v="Lamp"/>
    <n v="40.96"/>
    <x v="1"/>
    <n v="1"/>
    <n v="5"/>
  </r>
  <r>
    <s v="C075"/>
    <d v="2025-07-15T00:00:00"/>
    <s v="07-2025"/>
    <s v="Clothing"/>
    <s v="Shoes"/>
    <n v="474.4"/>
    <x v="1"/>
    <n v="1"/>
    <n v="8"/>
  </r>
  <r>
    <s v="C123"/>
    <d v="2025-11-25T00:00:00"/>
    <s v="11-2025"/>
    <s v="Beauty"/>
    <s v="Lotion"/>
    <n v="72.819999999999993"/>
    <x v="1"/>
    <n v="1"/>
    <n v="3"/>
  </r>
  <r>
    <s v="C199"/>
    <d v="2025-05-18T00:00:00"/>
    <s v="05-2025"/>
    <s v="Sports"/>
    <s v="Sneakers"/>
    <n v="497.24"/>
    <x v="5"/>
    <n v="1"/>
    <n v="7"/>
  </r>
  <r>
    <s v="C023"/>
    <d v="2025-11-24T00:00:00"/>
    <s v="11-2025"/>
    <s v="Beauty"/>
    <s v="Lipstick"/>
    <n v="293.42"/>
    <x v="0"/>
    <n v="1"/>
    <n v="5"/>
  </r>
  <r>
    <s v="C188"/>
    <d v="2025-05-09T00:00:00"/>
    <s v="05-2025"/>
    <s v="Sports"/>
    <s v="Soccer Ball"/>
    <n v="253.78"/>
    <x v="0"/>
    <n v="1"/>
    <n v="6"/>
  </r>
  <r>
    <s v="C082"/>
    <d v="2025-06-03T00:00:00"/>
    <s v="06-2025"/>
    <s v="Sports"/>
    <s v="Tennis Racket"/>
    <n v="274.25"/>
    <x v="3"/>
    <n v="1"/>
    <n v="6"/>
  </r>
  <r>
    <s v="C004"/>
    <d v="2025-03-28T00:00:00"/>
    <s v="03-2025"/>
    <s v="Home"/>
    <s v="Lamp"/>
    <n v="23.39"/>
    <x v="0"/>
    <n v="1"/>
    <n v="2"/>
  </r>
  <r>
    <s v="C015"/>
    <d v="2026-02-10T00:00:00"/>
    <s v="02-2026"/>
    <s v="Home"/>
    <s v="Microwave"/>
    <n v="39.75"/>
    <x v="4"/>
    <n v="1"/>
    <n v="6"/>
  </r>
  <r>
    <s v="C023"/>
    <d v="2025-10-04T00:00:00"/>
    <s v="10-2025"/>
    <s v="Beauty"/>
    <s v="Foundation"/>
    <n v="379.49"/>
    <x v="1"/>
    <n v="1"/>
    <n v="5"/>
  </r>
  <r>
    <s v="C092"/>
    <d v="2025-12-12T00:00:00"/>
    <s v="12-2025"/>
    <s v="Electronics"/>
    <s v="Keyboard"/>
    <n v="340.15"/>
    <x v="2"/>
    <n v="1"/>
    <n v="5"/>
  </r>
  <r>
    <s v="C118"/>
    <d v="2026-02-04T00:00:00"/>
    <s v="02-2026"/>
    <s v="Clothing"/>
    <s v="Jacket"/>
    <n v="175.21"/>
    <x v="4"/>
    <n v="1"/>
    <n v="5"/>
  </r>
  <r>
    <s v="C057"/>
    <d v="2025-06-04T00:00:00"/>
    <s v="06-2025"/>
    <s v="Beauty"/>
    <s v="Shampoo"/>
    <n v="274.20999999999998"/>
    <x v="1"/>
    <n v="1"/>
    <n v="10"/>
  </r>
  <r>
    <s v="C073"/>
    <d v="2025-04-11T00:00:00"/>
    <s v="04-2025"/>
    <s v="Electronics"/>
    <s v="Mouse"/>
    <n v="342.41"/>
    <x v="2"/>
    <n v="1"/>
    <n v="5"/>
  </r>
  <r>
    <s v="C076"/>
    <d v="2025-07-21T00:00:00"/>
    <s v="07-2025"/>
    <s v="Electronics"/>
    <s v="Keyboard"/>
    <n v="487.92"/>
    <x v="3"/>
    <n v="1"/>
    <n v="6"/>
  </r>
  <r>
    <s v="C064"/>
    <d v="2025-11-09T00:00:00"/>
    <s v="11-2025"/>
    <s v="Beauty"/>
    <s v="Perfume"/>
    <n v="177.35"/>
    <x v="5"/>
    <n v="1"/>
    <n v="4"/>
  </r>
  <r>
    <s v="C183"/>
    <d v="2025-07-21T00:00:00"/>
    <s v="07-2025"/>
    <s v="Electronics"/>
    <s v="Laptop"/>
    <n v="448.74"/>
    <x v="2"/>
    <n v="1"/>
    <n v="9"/>
  </r>
  <r>
    <s v="C124"/>
    <d v="2025-09-06T00:00:00"/>
    <s v="09-2025"/>
    <s v="Sports"/>
    <s v="Yoga Mat"/>
    <n v="393.62"/>
    <x v="2"/>
    <n v="1"/>
    <n v="3"/>
  </r>
  <r>
    <s v="C069"/>
    <d v="2025-05-17T00:00:00"/>
    <s v="05-2025"/>
    <s v="Beauty"/>
    <s v="Foundation"/>
    <n v="161.91"/>
    <x v="6"/>
    <n v="1"/>
    <n v="7"/>
  </r>
  <r>
    <s v="C051"/>
    <d v="2025-04-05T00:00:00"/>
    <s v="04-2025"/>
    <s v="Electronics"/>
    <s v="Mouse"/>
    <n v="91.74"/>
    <x v="0"/>
    <n v="1"/>
    <n v="3"/>
  </r>
  <r>
    <s v="C142"/>
    <d v="2025-09-14T00:00:00"/>
    <s v="09-2025"/>
    <s v="Electronics"/>
    <s v="Keyboard"/>
    <n v="328.59"/>
    <x v="3"/>
    <n v="1"/>
    <n v="6"/>
  </r>
  <r>
    <s v="C025"/>
    <d v="2025-10-05T00:00:00"/>
    <s v="10-2025"/>
    <s v="Clothing"/>
    <s v="T-shirt"/>
    <n v="286"/>
    <x v="6"/>
    <n v="1"/>
    <n v="6"/>
  </r>
  <r>
    <s v="C082"/>
    <d v="2025-09-07T00:00:00"/>
    <s v="09-2025"/>
    <s v="Beauty"/>
    <s v="Perfume"/>
    <n v="432.86"/>
    <x v="3"/>
    <n v="1"/>
    <n v="6"/>
  </r>
  <r>
    <s v="C094"/>
    <d v="2025-08-19T00:00:00"/>
    <s v="08-2025"/>
    <s v="Clothing"/>
    <s v="Sweater"/>
    <n v="333.9"/>
    <x v="2"/>
    <n v="1"/>
    <n v="4"/>
  </r>
  <r>
    <s v="C132"/>
    <d v="2026-02-09T00:00:00"/>
    <s v="02-2026"/>
    <s v="Clothing"/>
    <s v="Shoes"/>
    <n v="21.06"/>
    <x v="4"/>
    <n v="1"/>
    <n v="4"/>
  </r>
  <r>
    <s v="C073"/>
    <d v="2025-03-26T00:00:00"/>
    <s v="03-2025"/>
    <s v="Clothing"/>
    <s v="Sweater"/>
    <n v="294.70999999999998"/>
    <x v="4"/>
    <n v="1"/>
    <n v="5"/>
  </r>
  <r>
    <s v="C098"/>
    <d v="2025-05-21T00:00:00"/>
    <s v="05-2025"/>
    <s v="Beauty"/>
    <s v="Foundation"/>
    <n v="430.54"/>
    <x v="5"/>
    <n v="1"/>
    <n v="2"/>
  </r>
  <r>
    <s v="C078"/>
    <d v="2025-04-14T00:00:00"/>
    <s v="04-2025"/>
    <s v="Electronics"/>
    <s v="Smartphone"/>
    <n v="290.05"/>
    <x v="0"/>
    <n v="1"/>
    <n v="5"/>
  </r>
  <r>
    <s v="C038"/>
    <d v="2025-06-22T00:00:00"/>
    <s v="06-2025"/>
    <s v="Clothing"/>
    <s v="Jeans"/>
    <n v="230.56"/>
    <x v="2"/>
    <n v="0"/>
    <n v="1"/>
  </r>
  <r>
    <s v="C015"/>
    <d v="2025-05-06T00:00:00"/>
    <s v="05-2025"/>
    <s v="Home"/>
    <s v="Lamp"/>
    <n v="204.14"/>
    <x v="5"/>
    <n v="1"/>
    <n v="6"/>
  </r>
  <r>
    <s v="C049"/>
    <d v="2025-06-24T00:00:00"/>
    <s v="06-2025"/>
    <s v="Clothing"/>
    <s v="Shoes"/>
    <n v="256.36"/>
    <x v="2"/>
    <n v="1"/>
    <n v="4"/>
  </r>
  <r>
    <s v="C058"/>
    <d v="2026-02-10T00:00:00"/>
    <s v="02-2026"/>
    <s v="Sports"/>
    <s v="Soccer Ball"/>
    <n v="39.01"/>
    <x v="6"/>
    <n v="1"/>
    <n v="4"/>
  </r>
  <r>
    <s v="C034"/>
    <d v="2025-10-20T00:00:00"/>
    <s v="10-2025"/>
    <s v="Beauty"/>
    <s v="Lotion"/>
    <n v="273.18"/>
    <x v="4"/>
    <n v="1"/>
    <n v="4"/>
  </r>
  <r>
    <s v="C138"/>
    <d v="2026-01-27T00:00:00"/>
    <s v="01-2026"/>
    <s v="Beauty"/>
    <s v="Perfume"/>
    <n v="171.82"/>
    <x v="0"/>
    <n v="1"/>
    <n v="4"/>
  </r>
  <r>
    <s v="C028"/>
    <d v="2025-07-15T00:00:00"/>
    <s v="07-2025"/>
    <s v="Beauty"/>
    <s v="Foundation"/>
    <n v="41.64"/>
    <x v="5"/>
    <n v="1"/>
    <n v="3"/>
  </r>
  <r>
    <s v="C144"/>
    <d v="2025-06-13T00:00:00"/>
    <s v="06-2025"/>
    <s v="Clothing"/>
    <s v="Jacket"/>
    <n v="313.12"/>
    <x v="1"/>
    <n v="1"/>
    <n v="2"/>
  </r>
  <r>
    <s v="C003"/>
    <d v="2025-02-23T00:00:00"/>
    <s v="02-2025"/>
    <s v="Sports"/>
    <s v="Soccer Ball"/>
    <n v="364.23"/>
    <x v="0"/>
    <n v="1"/>
    <n v="5"/>
  </r>
  <r>
    <s v="C005"/>
    <d v="2025-09-04T00:00:00"/>
    <s v="09-2025"/>
    <s v="Clothing"/>
    <s v="Jeans"/>
    <n v="404.49"/>
    <x v="2"/>
    <n v="1"/>
    <n v="4"/>
  </r>
  <r>
    <s v="C071"/>
    <d v="2025-04-11T00:00:00"/>
    <s v="04-2025"/>
    <s v="Electronics"/>
    <s v="Keyboard"/>
    <n v="468.26"/>
    <x v="5"/>
    <n v="1"/>
    <n v="6"/>
  </r>
  <r>
    <s v="C091"/>
    <d v="2025-02-23T00:00:00"/>
    <s v="02-2025"/>
    <s v="Electronics"/>
    <s v="Mouse"/>
    <n v="253.72"/>
    <x v="5"/>
    <n v="1"/>
    <n v="5"/>
  </r>
  <r>
    <s v="C200"/>
    <d v="2025-10-09T00:00:00"/>
    <s v="10-2025"/>
    <s v="Clothing"/>
    <s v="Shoes"/>
    <n v="199.5"/>
    <x v="0"/>
    <n v="1"/>
    <n v="2"/>
  </r>
  <r>
    <s v="C123"/>
    <d v="2026-01-17T00:00:00"/>
    <s v="01-2026"/>
    <s v="Sports"/>
    <s v="Yoga Mat"/>
    <n v="441.77"/>
    <x v="2"/>
    <n v="1"/>
    <n v="3"/>
  </r>
  <r>
    <s v="C043"/>
    <d v="2025-05-02T00:00:00"/>
    <s v="05-2025"/>
    <s v="Beauty"/>
    <s v="Lotion"/>
    <n v="286.06"/>
    <x v="0"/>
    <n v="1"/>
    <n v="6"/>
  </r>
  <r>
    <s v="C055"/>
    <d v="2025-03-12T00:00:00"/>
    <s v="03-2025"/>
    <s v="Clothing"/>
    <s v="T-shirt"/>
    <n v="412.32"/>
    <x v="6"/>
    <n v="1"/>
    <n v="5"/>
  </r>
  <r>
    <s v="C131"/>
    <d v="2025-04-21T00:00:00"/>
    <s v="04-2025"/>
    <s v="Sports"/>
    <s v="Sneakers"/>
    <n v="257.08"/>
    <x v="5"/>
    <n v="1"/>
    <n v="2"/>
  </r>
  <r>
    <s v="C106"/>
    <d v="2025-06-10T00:00:00"/>
    <s v="06-2025"/>
    <s v="Electronics"/>
    <s v="Laptop"/>
    <n v="28.14"/>
    <x v="2"/>
    <n v="1"/>
    <n v="5"/>
  </r>
  <r>
    <s v="C121"/>
    <d v="2026-01-05T00:00:00"/>
    <s v="01-2026"/>
    <s v="Home"/>
    <s v="Blender"/>
    <n v="436.71"/>
    <x v="1"/>
    <n v="1"/>
    <n v="4"/>
  </r>
  <r>
    <s v="C022"/>
    <d v="2025-07-10T00:00:00"/>
    <s v="07-2025"/>
    <s v="Electronics"/>
    <s v="Mouse"/>
    <n v="37.409999999999997"/>
    <x v="4"/>
    <n v="1"/>
    <n v="2"/>
  </r>
  <r>
    <s v="C118"/>
    <d v="2025-09-25T00:00:00"/>
    <s v="09-2025"/>
    <s v="Home"/>
    <s v="Toaster"/>
    <n v="454.77"/>
    <x v="3"/>
    <n v="1"/>
    <n v="5"/>
  </r>
  <r>
    <s v="C110"/>
    <d v="2025-07-29T00:00:00"/>
    <s v="07-2025"/>
    <s v="Beauty"/>
    <s v="Lipstick"/>
    <n v="41.7"/>
    <x v="1"/>
    <n v="1"/>
    <n v="3"/>
  </r>
  <r>
    <s v="C127"/>
    <d v="2025-09-01T00:00:00"/>
    <s v="09-2025"/>
    <s v="Home"/>
    <s v="Chair"/>
    <n v="443.16"/>
    <x v="2"/>
    <n v="1"/>
    <n v="5"/>
  </r>
  <r>
    <s v="C140"/>
    <d v="2025-03-22T00:00:00"/>
    <s v="03-2025"/>
    <s v="Beauty"/>
    <s v="Foundation"/>
    <n v="438.15"/>
    <x v="5"/>
    <n v="1"/>
    <n v="5"/>
  </r>
  <r>
    <s v="C086"/>
    <d v="2025-03-14T00:00:00"/>
    <s v="03-2025"/>
    <s v="Clothing"/>
    <s v="Jeans"/>
    <n v="452.02"/>
    <x v="5"/>
    <n v="1"/>
    <n v="4"/>
  </r>
  <r>
    <s v="C121"/>
    <d v="2025-06-23T00:00:00"/>
    <s v="06-2025"/>
    <s v="Home"/>
    <s v="Chair"/>
    <n v="159.28"/>
    <x v="3"/>
    <n v="1"/>
    <n v="4"/>
  </r>
  <r>
    <s v="C147"/>
    <d v="2025-05-22T00:00:00"/>
    <s v="05-2025"/>
    <s v="Sports"/>
    <s v="Dumbbells"/>
    <n v="173.48"/>
    <x v="4"/>
    <n v="1"/>
    <n v="2"/>
  </r>
  <r>
    <s v="C095"/>
    <d v="2025-04-30T00:00:00"/>
    <s v="04-2025"/>
    <s v="Electronics"/>
    <s v="Smartphone"/>
    <n v="356.1"/>
    <x v="4"/>
    <n v="1"/>
    <n v="2"/>
  </r>
  <r>
    <s v="C113"/>
    <d v="2025-06-10T00:00:00"/>
    <s v="06-2025"/>
    <s v="Beauty"/>
    <s v="Lotion"/>
    <n v="147.78"/>
    <x v="3"/>
    <n v="1"/>
    <n v="5"/>
  </r>
  <r>
    <s v="C129"/>
    <d v="2025-12-03T00:00:00"/>
    <s v="12-2025"/>
    <s v="Electronics"/>
    <s v="Keyboard"/>
    <n v="152.63"/>
    <x v="1"/>
    <n v="1"/>
    <n v="3"/>
  </r>
  <r>
    <s v="C034"/>
    <d v="2025-07-25T00:00:00"/>
    <s v="07-2025"/>
    <s v="Electronics"/>
    <s v="Keyboard"/>
    <n v="467.67"/>
    <x v="6"/>
    <n v="1"/>
    <n v="4"/>
  </r>
  <r>
    <s v="C058"/>
    <d v="2026-02-14T00:00:00"/>
    <s v="02-2026"/>
    <s v="Beauty"/>
    <s v="Lotion"/>
    <n v="117.74"/>
    <x v="2"/>
    <n v="1"/>
    <n v="4"/>
  </r>
  <r>
    <s v="C122"/>
    <d v="2025-10-04T00:00:00"/>
    <s v="10-2025"/>
    <s v="Sports"/>
    <s v="Dumbbells"/>
    <n v="36.39"/>
    <x v="1"/>
    <n v="1"/>
    <n v="5"/>
  </r>
  <r>
    <s v="C035"/>
    <d v="2026-02-19T00:00:00"/>
    <s v="02-2026"/>
    <s v="Sports"/>
    <s v="Tennis Racket"/>
    <n v="378.12"/>
    <x v="2"/>
    <n v="1"/>
    <n v="2"/>
  </r>
  <r>
    <s v="C055"/>
    <d v="2026-01-09T00:00:00"/>
    <s v="01-2026"/>
    <s v="Beauty"/>
    <s v="Shampoo"/>
    <n v="121.53"/>
    <x v="2"/>
    <n v="1"/>
    <n v="5"/>
  </r>
  <r>
    <s v="C164"/>
    <d v="2025-07-21T00:00:00"/>
    <s v="07-2025"/>
    <s v="Clothing"/>
    <s v="T-shirt"/>
    <n v="169.7"/>
    <x v="5"/>
    <n v="1"/>
    <n v="5"/>
  </r>
  <r>
    <s v="C169"/>
    <d v="2025-06-26T00:00:00"/>
    <s v="06-2025"/>
    <s v="Sports"/>
    <s v="Sneakers"/>
    <n v="107.7"/>
    <x v="0"/>
    <n v="1"/>
    <n v="5"/>
  </r>
  <r>
    <s v="C192"/>
    <d v="2025-12-19T00:00:00"/>
    <s v="12-2025"/>
    <s v="Clothing"/>
    <s v="Jacket"/>
    <n v="38.51"/>
    <x v="2"/>
    <n v="1"/>
    <n v="7"/>
  </r>
  <r>
    <s v="C002"/>
    <d v="2025-05-29T00:00:00"/>
    <s v="05-2025"/>
    <s v="Clothing"/>
    <s v="Sweater"/>
    <n v="77.81"/>
    <x v="2"/>
    <n v="1"/>
    <n v="3"/>
  </r>
  <r>
    <s v="C037"/>
    <d v="2025-08-03T00:00:00"/>
    <s v="08-2025"/>
    <s v="Clothing"/>
    <s v="Jacket"/>
    <n v="26.27"/>
    <x v="2"/>
    <n v="1"/>
    <n v="5"/>
  </r>
  <r>
    <s v="C069"/>
    <d v="2025-10-03T00:00:00"/>
    <s v="10-2025"/>
    <s v="Clothing"/>
    <s v="Shoes"/>
    <n v="412.06"/>
    <x v="1"/>
    <n v="1"/>
    <n v="7"/>
  </r>
  <r>
    <s v="C160"/>
    <d v="2025-04-26T00:00:00"/>
    <s v="04-2025"/>
    <s v="Sports"/>
    <s v="Dumbbells"/>
    <n v="81.510000000000005"/>
    <x v="6"/>
    <n v="1"/>
    <n v="2"/>
  </r>
  <r>
    <s v="C050"/>
    <d v="2025-05-06T00:00:00"/>
    <s v="05-2025"/>
    <s v="Beauty"/>
    <s v="Lipstick"/>
    <n v="464.4"/>
    <x v="6"/>
    <n v="1"/>
    <n v="2"/>
  </r>
  <r>
    <s v="C012"/>
    <d v="2025-12-03T00:00:00"/>
    <s v="12-2025"/>
    <s v="Home"/>
    <s v="Blender"/>
    <n v="241.59"/>
    <x v="1"/>
    <n v="1"/>
    <n v="4"/>
  </r>
  <r>
    <s v="C032"/>
    <d v="2025-12-31T00:00:00"/>
    <s v="12-2025"/>
    <s v="Electronics"/>
    <s v="Smartphone"/>
    <n v="100.51"/>
    <x v="6"/>
    <n v="0"/>
    <n v="1"/>
  </r>
  <r>
    <s v="C162"/>
    <d v="2025-04-18T00:00:00"/>
    <s v="04-2025"/>
    <s v="Beauty"/>
    <s v="Perfume"/>
    <n v="377"/>
    <x v="1"/>
    <n v="1"/>
    <n v="4"/>
  </r>
  <r>
    <s v="C062"/>
    <d v="2025-05-09T00:00:00"/>
    <s v="05-2025"/>
    <s v="Sports"/>
    <s v="Dumbbells"/>
    <n v="405.64"/>
    <x v="6"/>
    <n v="1"/>
    <n v="3"/>
  </r>
  <r>
    <s v="C055"/>
    <d v="2025-02-24T00:00:00"/>
    <s v="02-2025"/>
    <s v="Clothing"/>
    <s v="Jeans"/>
    <n v="221.59"/>
    <x v="4"/>
    <n v="1"/>
    <n v="5"/>
  </r>
  <r>
    <s v="C024"/>
    <d v="2025-12-03T00:00:00"/>
    <s v="12-2025"/>
    <s v="Home"/>
    <s v="Blender"/>
    <n v="308.06"/>
    <x v="2"/>
    <n v="1"/>
    <n v="3"/>
  </r>
  <r>
    <s v="C196"/>
    <d v="2025-06-29T00:00:00"/>
    <s v="06-2025"/>
    <s v="Clothing"/>
    <s v="Shoes"/>
    <n v="288.60000000000002"/>
    <x v="4"/>
    <n v="1"/>
    <n v="5"/>
  </r>
  <r>
    <s v="C082"/>
    <d v="2025-08-29T00:00:00"/>
    <s v="08-2025"/>
    <s v="Sports"/>
    <s v="Yoga Mat"/>
    <n v="86.46"/>
    <x v="2"/>
    <n v="1"/>
    <n v="6"/>
  </r>
  <r>
    <s v="C106"/>
    <d v="2025-05-25T00:00:00"/>
    <s v="05-2025"/>
    <s v="Electronics"/>
    <s v="Keyboard"/>
    <n v="383.33"/>
    <x v="2"/>
    <n v="1"/>
    <n v="5"/>
  </r>
  <r>
    <s v="C139"/>
    <d v="2026-02-19T00:00:00"/>
    <s v="02-2026"/>
    <s v="Sports"/>
    <s v="Yoga Mat"/>
    <n v="265.94"/>
    <x v="5"/>
    <n v="1"/>
    <n v="5"/>
  </r>
  <r>
    <s v="C030"/>
    <d v="2025-03-17T00:00:00"/>
    <s v="03-2025"/>
    <s v="Clothing"/>
    <s v="T-shirt"/>
    <n v="439.26"/>
    <x v="6"/>
    <n v="1"/>
    <n v="3"/>
  </r>
  <r>
    <s v="C188"/>
    <d v="2025-10-13T00:00:00"/>
    <s v="10-2025"/>
    <s v="Beauty"/>
    <s v="Perfume"/>
    <n v="93.78"/>
    <x v="3"/>
    <n v="1"/>
    <n v="6"/>
  </r>
  <r>
    <s v="C037"/>
    <d v="2025-06-21T00:00:00"/>
    <s v="06-2025"/>
    <s v="Beauty"/>
    <s v="Foundation"/>
    <n v="300.29000000000002"/>
    <x v="3"/>
    <n v="1"/>
    <n v="5"/>
  </r>
  <r>
    <s v="C186"/>
    <d v="2026-01-31T00:00:00"/>
    <s v="01-2026"/>
    <s v="Home"/>
    <s v="Lamp"/>
    <n v="390.22"/>
    <x v="3"/>
    <n v="1"/>
    <n v="3"/>
  </r>
  <r>
    <s v="C036"/>
    <d v="2025-11-12T00:00:00"/>
    <s v="11-2025"/>
    <s v="Sports"/>
    <s v="Dumbbells"/>
    <n v="245.35"/>
    <x v="2"/>
    <n v="1"/>
    <n v="4"/>
  </r>
  <r>
    <s v="C175"/>
    <d v="2025-03-26T00:00:00"/>
    <s v="03-2025"/>
    <s v="Home"/>
    <s v="Toaster"/>
    <n v="409.92"/>
    <x v="2"/>
    <n v="1"/>
    <n v="3"/>
  </r>
  <r>
    <s v="C144"/>
    <d v="2025-06-27T00:00:00"/>
    <s v="06-2025"/>
    <s v="Electronics"/>
    <s v="Headphones"/>
    <n v="422.41"/>
    <x v="5"/>
    <n v="1"/>
    <n v="2"/>
  </r>
  <r>
    <s v="C033"/>
    <d v="2026-02-12T00:00:00"/>
    <s v="02-2026"/>
    <s v="Beauty"/>
    <s v="Lipstick"/>
    <n v="72.12"/>
    <x v="3"/>
    <n v="1"/>
    <n v="5"/>
  </r>
  <r>
    <s v="C165"/>
    <d v="2025-08-20T00:00:00"/>
    <s v="08-2025"/>
    <s v="Home"/>
    <s v="Chair"/>
    <n v="68.41"/>
    <x v="3"/>
    <n v="1"/>
    <n v="3"/>
  </r>
  <r>
    <s v="C006"/>
    <d v="2025-10-04T00:00:00"/>
    <s v="10-2025"/>
    <s v="Clothing"/>
    <s v="Sweater"/>
    <n v="334.19"/>
    <x v="6"/>
    <n v="1"/>
    <n v="6"/>
  </r>
  <r>
    <s v="C108"/>
    <d v="2025-09-16T00:00:00"/>
    <s v="09-2025"/>
    <s v="Home"/>
    <s v="Toaster"/>
    <n v="52.58"/>
    <x v="5"/>
    <n v="1"/>
    <n v="4"/>
  </r>
  <r>
    <s v="C199"/>
    <d v="2025-06-09T00:00:00"/>
    <s v="06-2025"/>
    <s v="Home"/>
    <s v="Toaster"/>
    <n v="226.26"/>
    <x v="0"/>
    <n v="1"/>
    <n v="7"/>
  </r>
  <r>
    <s v="C185"/>
    <d v="2025-07-31T00:00:00"/>
    <s v="07-2025"/>
    <s v="Sports"/>
    <s v="Tennis Racket"/>
    <n v="184.2"/>
    <x v="0"/>
    <n v="1"/>
    <n v="2"/>
  </r>
  <r>
    <s v="C006"/>
    <d v="2025-12-01T00:00:00"/>
    <s v="12-2025"/>
    <s v="Sports"/>
    <s v="Yoga Mat"/>
    <n v="379.58"/>
    <x v="1"/>
    <n v="1"/>
    <n v="6"/>
  </r>
  <r>
    <s v="C101"/>
    <d v="2025-09-29T00:00:00"/>
    <s v="09-2025"/>
    <s v="Beauty"/>
    <s v="Perfume"/>
    <n v="11.65"/>
    <x v="3"/>
    <n v="1"/>
    <n v="6"/>
  </r>
  <r>
    <s v="C004"/>
    <d v="2025-09-24T00:00:00"/>
    <s v="09-2025"/>
    <s v="Home"/>
    <s v="Microwave"/>
    <n v="83.44"/>
    <x v="0"/>
    <n v="1"/>
    <n v="2"/>
  </r>
  <r>
    <s v="C134"/>
    <d v="2025-08-21T00:00:00"/>
    <s v="08-2025"/>
    <s v="Sports"/>
    <s v="Soccer Ball"/>
    <n v="463.81"/>
    <x v="1"/>
    <n v="1"/>
    <n v="6"/>
  </r>
  <r>
    <s v="C017"/>
    <d v="2025-08-11T00:00:00"/>
    <s v="08-2025"/>
    <s v="Beauty"/>
    <s v="Lotion"/>
    <n v="344.77"/>
    <x v="0"/>
    <n v="1"/>
    <n v="6"/>
  </r>
  <r>
    <s v="C017"/>
    <d v="2025-03-03T00:00:00"/>
    <s v="03-2025"/>
    <s v="Home"/>
    <s v="Lamp"/>
    <n v="371.42"/>
    <x v="0"/>
    <n v="1"/>
    <n v="6"/>
  </r>
  <r>
    <s v="C025"/>
    <d v="2025-04-17T00:00:00"/>
    <s v="04-2025"/>
    <s v="Electronics"/>
    <s v="Mouse"/>
    <n v="104.14"/>
    <x v="2"/>
    <n v="1"/>
    <n v="6"/>
  </r>
  <r>
    <s v="C177"/>
    <d v="2025-05-16T00:00:00"/>
    <s v="05-2025"/>
    <s v="Home"/>
    <s v="Microwave"/>
    <n v="207.05"/>
    <x v="0"/>
    <n v="1"/>
    <n v="2"/>
  </r>
  <r>
    <s v="C064"/>
    <d v="2025-12-17T00:00:00"/>
    <s v="12-2025"/>
    <s v="Sports"/>
    <s v="Soccer Ball"/>
    <n v="106.28"/>
    <x v="4"/>
    <n v="1"/>
    <n v="4"/>
  </r>
  <r>
    <s v="C067"/>
    <d v="2025-11-24T00:00:00"/>
    <s v="11-2025"/>
    <s v="Electronics"/>
    <s v="Mouse"/>
    <n v="448.65"/>
    <x v="1"/>
    <n v="1"/>
    <n v="4"/>
  </r>
  <r>
    <s v="C182"/>
    <d v="2026-01-17T00:00:00"/>
    <s v="01-2026"/>
    <s v="Sports"/>
    <s v="Dumbbells"/>
    <n v="361.83"/>
    <x v="0"/>
    <n v="1"/>
    <n v="3"/>
  </r>
  <r>
    <s v="C195"/>
    <d v="2025-04-14T00:00:00"/>
    <s v="04-2025"/>
    <s v="Electronics"/>
    <s v="Laptop"/>
    <n v="79.12"/>
    <x v="4"/>
    <n v="1"/>
    <n v="5"/>
  </r>
  <r>
    <s v="C129"/>
    <d v="2025-11-04T00:00:00"/>
    <s v="11-2025"/>
    <s v="Home"/>
    <s v="Toaster"/>
    <n v="356.99"/>
    <x v="4"/>
    <n v="1"/>
    <n v="3"/>
  </r>
  <r>
    <s v="C073"/>
    <d v="2025-05-22T00:00:00"/>
    <s v="05-2025"/>
    <s v="Home"/>
    <s v="Lamp"/>
    <n v="386.73"/>
    <x v="2"/>
    <n v="1"/>
    <n v="5"/>
  </r>
  <r>
    <s v="C102"/>
    <d v="2025-08-17T00:00:00"/>
    <s v="08-2025"/>
    <s v="Electronics"/>
    <s v="Headphones"/>
    <n v="149.16"/>
    <x v="6"/>
    <n v="1"/>
    <n v="5"/>
  </r>
  <r>
    <s v="C192"/>
    <d v="2025-10-02T00:00:00"/>
    <s v="10-2025"/>
    <s v="Electronics"/>
    <s v="Laptop"/>
    <n v="334.87"/>
    <x v="6"/>
    <n v="1"/>
    <n v="7"/>
  </r>
  <r>
    <s v="C071"/>
    <d v="2025-08-12T00:00:00"/>
    <s v="08-2025"/>
    <s v="Beauty"/>
    <s v="Shampoo"/>
    <n v="271.10000000000002"/>
    <x v="4"/>
    <n v="1"/>
    <n v="6"/>
  </r>
  <r>
    <s v="C043"/>
    <d v="2026-02-16T00:00:00"/>
    <s v="02-2026"/>
    <s v="Home"/>
    <s v="Chair"/>
    <n v="114.48"/>
    <x v="0"/>
    <n v="1"/>
    <n v="6"/>
  </r>
  <r>
    <s v="C086"/>
    <d v="2026-02-20T00:00:00"/>
    <s v="02-2026"/>
    <s v="Home"/>
    <s v="Blender"/>
    <n v="302.67"/>
    <x v="1"/>
    <n v="1"/>
    <n v="4"/>
  </r>
  <r>
    <s v="C199"/>
    <d v="2025-04-14T00:00:00"/>
    <s v="04-2025"/>
    <s v="Clothing"/>
    <s v="Jacket"/>
    <n v="281.33"/>
    <x v="5"/>
    <n v="1"/>
    <n v="7"/>
  </r>
  <r>
    <s v="C140"/>
    <d v="2026-02-04T00:00:00"/>
    <s v="02-2026"/>
    <s v="Beauty"/>
    <s v="Lotion"/>
    <n v="94.35"/>
    <x v="2"/>
    <n v="1"/>
    <n v="5"/>
  </r>
  <r>
    <s v="C200"/>
    <d v="2025-10-05T00:00:00"/>
    <s v="10-2025"/>
    <s v="Home"/>
    <s v="Toaster"/>
    <n v="215.74"/>
    <x v="4"/>
    <n v="1"/>
    <n v="2"/>
  </r>
  <r>
    <s v="C002"/>
    <d v="2025-06-05T00:00:00"/>
    <s v="06-2025"/>
    <s v="Home"/>
    <s v="Microwave"/>
    <n v="346.08"/>
    <x v="0"/>
    <n v="1"/>
    <n v="3"/>
  </r>
  <r>
    <s v="C019"/>
    <d v="2025-12-01T00:00:00"/>
    <s v="12-2025"/>
    <s v="Sports"/>
    <s v="Dumbbells"/>
    <n v="394.95"/>
    <x v="2"/>
    <n v="1"/>
    <n v="6"/>
  </r>
  <r>
    <s v="C094"/>
    <d v="2025-03-17T00:00:00"/>
    <s v="03-2025"/>
    <s v="Clothing"/>
    <s v="Jacket"/>
    <n v="274.08999999999997"/>
    <x v="3"/>
    <n v="1"/>
    <n v="4"/>
  </r>
  <r>
    <s v="C069"/>
    <d v="2025-09-20T00:00:00"/>
    <s v="09-2025"/>
    <s v="Sports"/>
    <s v="Soccer Ball"/>
    <n v="221"/>
    <x v="2"/>
    <n v="1"/>
    <n v="7"/>
  </r>
  <r>
    <s v="C091"/>
    <d v="2026-01-08T00:00:00"/>
    <s v="01-2026"/>
    <s v="Beauty"/>
    <s v="Perfume"/>
    <n v="432.18"/>
    <x v="4"/>
    <n v="1"/>
    <n v="5"/>
  </r>
  <r>
    <s v="C075"/>
    <d v="2025-10-29T00:00:00"/>
    <s v="10-2025"/>
    <s v="Sports"/>
    <s v="Tennis Racket"/>
    <n v="452.32"/>
    <x v="4"/>
    <n v="1"/>
    <n v="8"/>
  </r>
  <r>
    <s v="C023"/>
    <d v="2025-06-25T00:00:00"/>
    <s v="06-2025"/>
    <s v="Beauty"/>
    <s v="Lipstick"/>
    <n v="118.33"/>
    <x v="1"/>
    <n v="1"/>
    <n v="5"/>
  </r>
  <r>
    <s v="C130"/>
    <d v="2025-03-17T00:00:00"/>
    <s v="03-2025"/>
    <s v="Clothing"/>
    <s v="Sweater"/>
    <n v="132.66"/>
    <x v="5"/>
    <n v="1"/>
    <n v="5"/>
  </r>
  <r>
    <s v="C026"/>
    <d v="2025-05-26T00:00:00"/>
    <s v="05-2025"/>
    <s v="Clothing"/>
    <s v="Shoes"/>
    <n v="281.23"/>
    <x v="3"/>
    <n v="1"/>
    <n v="3"/>
  </r>
  <r>
    <s v="C050"/>
    <d v="2025-10-14T00:00:00"/>
    <s v="10-2025"/>
    <s v="Sports"/>
    <s v="Tennis Racket"/>
    <n v="196.71"/>
    <x v="2"/>
    <n v="1"/>
    <n v="2"/>
  </r>
  <r>
    <s v="C165"/>
    <d v="2026-01-14T00:00:00"/>
    <s v="01-2026"/>
    <s v="Clothing"/>
    <s v="Sweater"/>
    <n v="314.19"/>
    <x v="2"/>
    <n v="1"/>
    <n v="3"/>
  </r>
  <r>
    <s v="C071"/>
    <d v="2025-05-08T00:00:00"/>
    <s v="05-2025"/>
    <s v="Electronics"/>
    <s v="Laptop"/>
    <n v="58.57"/>
    <x v="0"/>
    <n v="1"/>
    <n v="6"/>
  </r>
  <r>
    <s v="C137"/>
    <d v="2025-05-19T00:00:00"/>
    <s v="05-2025"/>
    <s v="Electronics"/>
    <s v="Headphones"/>
    <n v="494.82"/>
    <x v="1"/>
    <n v="1"/>
    <n v="5"/>
  </r>
  <r>
    <s v="C158"/>
    <d v="2026-02-11T00:00:00"/>
    <s v="02-2026"/>
    <s v="Beauty"/>
    <s v="Lipstick"/>
    <n v="128.52000000000001"/>
    <x v="3"/>
    <n v="1"/>
    <n v="5"/>
  </r>
  <r>
    <s v="C158"/>
    <d v="2025-10-07T00:00:00"/>
    <s v="10-2025"/>
    <s v="Clothing"/>
    <s v="Jeans"/>
    <n v="347.24"/>
    <x v="3"/>
    <n v="1"/>
    <n v="5"/>
  </r>
  <r>
    <s v="C042"/>
    <d v="2026-02-02T00:00:00"/>
    <s v="02-2026"/>
    <s v="Sports"/>
    <s v="Soccer Ball"/>
    <n v="298.57"/>
    <x v="1"/>
    <n v="1"/>
    <n v="3"/>
  </r>
  <r>
    <s v="C187"/>
    <d v="2025-06-19T00:00:00"/>
    <s v="06-2025"/>
    <s v="Clothing"/>
    <s v="Jacket"/>
    <n v="89.82"/>
    <x v="3"/>
    <n v="1"/>
    <n v="5"/>
  </r>
  <r>
    <s v="C029"/>
    <d v="2025-12-06T00:00:00"/>
    <s v="12-2025"/>
    <s v="Home"/>
    <s v="Microwave"/>
    <n v="91.86"/>
    <x v="3"/>
    <n v="1"/>
    <n v="6"/>
  </r>
  <r>
    <s v="C126"/>
    <d v="2025-11-23T00:00:00"/>
    <s v="11-2025"/>
    <s v="Home"/>
    <s v="Chair"/>
    <n v="163.26"/>
    <x v="6"/>
    <n v="1"/>
    <n v="2"/>
  </r>
  <r>
    <s v="C065"/>
    <d v="2025-10-13T00:00:00"/>
    <s v="10-2025"/>
    <s v="Electronics"/>
    <s v="Smartphone"/>
    <n v="478.95"/>
    <x v="0"/>
    <n v="1"/>
    <n v="4"/>
  </r>
  <r>
    <s v="C142"/>
    <d v="2026-01-20T00:00:00"/>
    <s v="01-2026"/>
    <s v="Electronics"/>
    <s v="Keyboard"/>
    <n v="127.65"/>
    <x v="4"/>
    <n v="1"/>
    <n v="6"/>
  </r>
  <r>
    <s v="C065"/>
    <d v="2025-06-30T00:00:00"/>
    <s v="06-2025"/>
    <s v="Sports"/>
    <s v="Soccer Ball"/>
    <n v="124.64"/>
    <x v="3"/>
    <n v="1"/>
    <n v="4"/>
  </r>
  <r>
    <s v="C080"/>
    <d v="2025-10-13T00:00:00"/>
    <s v="10-2025"/>
    <s v="Sports"/>
    <s v="Dumbbells"/>
    <n v="363.25"/>
    <x v="4"/>
    <n v="1"/>
    <n v="2"/>
  </r>
  <r>
    <s v="C193"/>
    <d v="2025-05-14T00:00:00"/>
    <s v="05-2025"/>
    <s v="Home"/>
    <s v="Chair"/>
    <n v="300.17"/>
    <x v="4"/>
    <n v="1"/>
    <n v="2"/>
  </r>
  <r>
    <s v="C030"/>
    <d v="2025-08-07T00:00:00"/>
    <s v="08-2025"/>
    <s v="Clothing"/>
    <s v="Jacket"/>
    <n v="92.23"/>
    <x v="4"/>
    <n v="1"/>
    <n v="3"/>
  </r>
  <r>
    <s v="C127"/>
    <d v="2025-06-30T00:00:00"/>
    <s v="06-2025"/>
    <s v="Sports"/>
    <s v="Soccer Ball"/>
    <n v="26.34"/>
    <x v="5"/>
    <n v="1"/>
    <n v="5"/>
  </r>
  <r>
    <s v="C198"/>
    <d v="2025-07-10T00:00:00"/>
    <s v="07-2025"/>
    <s v="Sports"/>
    <s v="Tennis Racket"/>
    <n v="158.27000000000001"/>
    <x v="0"/>
    <n v="1"/>
    <n v="5"/>
  </r>
  <r>
    <s v="C150"/>
    <d v="2025-11-14T00:00:00"/>
    <s v="11-2025"/>
    <s v="Electronics"/>
    <s v="Headphones"/>
    <n v="315.02999999999997"/>
    <x v="1"/>
    <n v="1"/>
    <n v="3"/>
  </r>
  <r>
    <s v="C194"/>
    <d v="2025-05-28T00:00:00"/>
    <s v="05-2025"/>
    <s v="Beauty"/>
    <s v="Foundation"/>
    <n v="205.01"/>
    <x v="5"/>
    <n v="1"/>
    <n v="7"/>
  </r>
  <r>
    <s v="C169"/>
    <d v="2025-05-26T00:00:00"/>
    <s v="05-2025"/>
    <s v="Beauty"/>
    <s v="Shampoo"/>
    <n v="149.5"/>
    <x v="1"/>
    <n v="1"/>
    <n v="5"/>
  </r>
  <r>
    <s v="C021"/>
    <d v="2025-09-25T00:00:00"/>
    <s v="09-2025"/>
    <s v="Home"/>
    <s v="Blender"/>
    <n v="116.99"/>
    <x v="3"/>
    <n v="1"/>
    <n v="2"/>
  </r>
  <r>
    <s v="C075"/>
    <d v="2025-08-28T00:00:00"/>
    <s v="08-2025"/>
    <s v="Clothing"/>
    <s v="Jeans"/>
    <n v="162.31"/>
    <x v="1"/>
    <n v="1"/>
    <n v="8"/>
  </r>
  <r>
    <s v="C119"/>
    <d v="2025-11-10T00:00:00"/>
    <s v="11-2025"/>
    <s v="Beauty"/>
    <s v="Foundation"/>
    <n v="187.56"/>
    <x v="6"/>
    <n v="1"/>
    <n v="6"/>
  </r>
  <r>
    <s v="C088"/>
    <d v="2025-04-24T00:00:00"/>
    <s v="04-2025"/>
    <s v="Beauty"/>
    <s v="Perfume"/>
    <n v="401.3"/>
    <x v="2"/>
    <n v="0"/>
    <n v="1"/>
  </r>
  <r>
    <s v="C102"/>
    <d v="2025-11-23T00:00:00"/>
    <s v="11-2025"/>
    <s v="Beauty"/>
    <s v="Lotion"/>
    <n v="200.04"/>
    <x v="4"/>
    <n v="1"/>
    <n v="5"/>
  </r>
  <r>
    <s v="C146"/>
    <d v="2026-01-23T00:00:00"/>
    <s v="01-2026"/>
    <s v="Home"/>
    <s v="Toaster"/>
    <n v="451.19"/>
    <x v="6"/>
    <n v="0"/>
    <n v="1"/>
  </r>
  <r>
    <s v="C045"/>
    <d v="2025-08-17T00:00:00"/>
    <s v="08-2025"/>
    <s v="Clothing"/>
    <s v="T-shirt"/>
    <n v="104.67"/>
    <x v="1"/>
    <n v="0"/>
    <n v="1"/>
  </r>
  <r>
    <s v="C142"/>
    <d v="2025-04-17T00:00:00"/>
    <s v="04-2025"/>
    <s v="Clothing"/>
    <s v="Shoes"/>
    <n v="400.16"/>
    <x v="1"/>
    <n v="1"/>
    <n v="6"/>
  </r>
  <r>
    <s v="C003"/>
    <d v="2025-12-07T00:00:00"/>
    <s v="12-2025"/>
    <s v="Beauty"/>
    <s v="Shampoo"/>
    <n v="435.35"/>
    <x v="6"/>
    <n v="1"/>
    <n v="5"/>
  </r>
  <r>
    <s v="C106"/>
    <d v="2025-02-28T00:00:00"/>
    <s v="02-2025"/>
    <s v="Electronics"/>
    <s v="Laptop"/>
    <n v="212.95"/>
    <x v="5"/>
    <n v="1"/>
    <n v="5"/>
  </r>
  <r>
    <s v="C066"/>
    <d v="2025-10-05T00:00:00"/>
    <s v="10-2025"/>
    <s v="Clothing"/>
    <s v="Sweater"/>
    <n v="114.3"/>
    <x v="1"/>
    <n v="1"/>
    <n v="2"/>
  </r>
  <r>
    <s v="C069"/>
    <d v="2025-10-06T00:00:00"/>
    <s v="10-2025"/>
    <s v="Electronics"/>
    <s v="Headphones"/>
    <n v="67.739999999999995"/>
    <x v="3"/>
    <n v="1"/>
    <n v="7"/>
  </r>
  <r>
    <s v="C188"/>
    <d v="2025-06-01T00:00:00"/>
    <s v="06-2025"/>
    <s v="Beauty"/>
    <s v="Shampoo"/>
    <n v="130.01"/>
    <x v="6"/>
    <n v="1"/>
    <n v="6"/>
  </r>
  <r>
    <s v="C094"/>
    <d v="2025-09-12T00:00:00"/>
    <s v="09-2025"/>
    <s v="Electronics"/>
    <s v="Keyboard"/>
    <n v="82.83"/>
    <x v="0"/>
    <n v="1"/>
    <n v="4"/>
  </r>
  <r>
    <s v="C137"/>
    <d v="2025-03-10T00:00:00"/>
    <s v="03-2025"/>
    <s v="Electronics"/>
    <s v="Laptop"/>
    <n v="90.77"/>
    <x v="4"/>
    <n v="1"/>
    <n v="5"/>
  </r>
  <r>
    <s v="C154"/>
    <d v="2025-10-25T00:00:00"/>
    <s v="10-2025"/>
    <s v="Sports"/>
    <s v="Tennis Racket"/>
    <n v="250.67"/>
    <x v="4"/>
    <n v="1"/>
    <n v="3"/>
  </r>
  <r>
    <s v="C044"/>
    <d v="2025-08-17T00:00:00"/>
    <s v="08-2025"/>
    <s v="Clothing"/>
    <s v="Jeans"/>
    <n v="454.68"/>
    <x v="3"/>
    <n v="1"/>
    <n v="3"/>
  </r>
  <r>
    <s v="C067"/>
    <d v="2025-10-28T00:00:00"/>
    <s v="10-2025"/>
    <s v="Sports"/>
    <s v="Yoga Mat"/>
    <n v="210"/>
    <x v="4"/>
    <n v="1"/>
    <n v="4"/>
  </r>
  <r>
    <s v="C193"/>
    <d v="2025-06-02T00:00:00"/>
    <s v="06-2025"/>
    <s v="Clothing"/>
    <s v="Jacket"/>
    <n v="453.69"/>
    <x v="2"/>
    <n v="1"/>
    <n v="2"/>
  </r>
  <r>
    <s v="C023"/>
    <d v="2025-11-14T00:00:00"/>
    <s v="11-2025"/>
    <s v="Beauty"/>
    <s v="Lotion"/>
    <n v="17.96"/>
    <x v="6"/>
    <n v="1"/>
    <n v="5"/>
  </r>
  <r>
    <s v="C007"/>
    <d v="2025-03-19T00:00:00"/>
    <s v="03-2025"/>
    <s v="Home"/>
    <s v="Toaster"/>
    <n v="380.3"/>
    <x v="6"/>
    <n v="0"/>
    <n v="1"/>
  </r>
  <r>
    <s v="C034"/>
    <d v="2025-08-20T00:00:00"/>
    <s v="08-2025"/>
    <s v="Clothing"/>
    <s v="Jeans"/>
    <n v="440.63"/>
    <x v="1"/>
    <n v="1"/>
    <n v="4"/>
  </r>
  <r>
    <s v="C174"/>
    <d v="2026-01-01T00:00:00"/>
    <s v="01-2026"/>
    <s v="Beauty"/>
    <s v="Foundation"/>
    <n v="484.92"/>
    <x v="5"/>
    <n v="1"/>
    <n v="3"/>
  </r>
  <r>
    <s v="C027"/>
    <d v="2025-09-24T00:00:00"/>
    <s v="09-2025"/>
    <s v="Sports"/>
    <s v="Dumbbells"/>
    <n v="377.4"/>
    <x v="4"/>
    <n v="1"/>
    <n v="2"/>
  </r>
  <r>
    <s v="C177"/>
    <d v="2025-11-09T00:00:00"/>
    <s v="11-2025"/>
    <s v="Sports"/>
    <s v="Dumbbells"/>
    <n v="324.45"/>
    <x v="0"/>
    <n v="1"/>
    <n v="2"/>
  </r>
  <r>
    <s v="C192"/>
    <d v="2025-11-10T00:00:00"/>
    <s v="11-2025"/>
    <s v="Sports"/>
    <s v="Yoga Mat"/>
    <n v="304.74"/>
    <x v="3"/>
    <n v="1"/>
    <n v="7"/>
  </r>
  <r>
    <s v="C109"/>
    <d v="2025-03-09T00:00:00"/>
    <s v="03-2025"/>
    <s v="Sports"/>
    <s v="Yoga Mat"/>
    <n v="290.57"/>
    <x v="4"/>
    <n v="1"/>
    <n v="4"/>
  </r>
  <r>
    <s v="C076"/>
    <d v="2025-12-17T00:00:00"/>
    <s v="12-2025"/>
    <s v="Clothing"/>
    <s v="Shoes"/>
    <n v="457.2"/>
    <x v="3"/>
    <n v="1"/>
    <n v="6"/>
  </r>
  <r>
    <s v="C155"/>
    <d v="2025-05-15T00:00:00"/>
    <s v="05-2025"/>
    <s v="Clothing"/>
    <s v="T-shirt"/>
    <n v="164.16"/>
    <x v="0"/>
    <n v="1"/>
    <n v="3"/>
  </r>
  <r>
    <s v="C052"/>
    <d v="2025-07-05T00:00:00"/>
    <s v="07-2025"/>
    <s v="Sports"/>
    <s v="Sneakers"/>
    <n v="282.56"/>
    <x v="6"/>
    <n v="1"/>
    <n v="2"/>
  </r>
  <r>
    <s v="C016"/>
    <d v="2025-02-27T00:00:00"/>
    <s v="02-2025"/>
    <s v="Clothing"/>
    <s v="Jeans"/>
    <n v="218.7"/>
    <x v="1"/>
    <n v="1"/>
    <n v="9"/>
  </r>
  <r>
    <s v="C170"/>
    <d v="2025-08-25T00:00:00"/>
    <s v="08-2025"/>
    <s v="Beauty"/>
    <s v="Perfume"/>
    <n v="20.93"/>
    <x v="0"/>
    <n v="1"/>
    <n v="4"/>
  </r>
  <r>
    <s v="C142"/>
    <d v="2025-10-19T00:00:00"/>
    <s v="10-2025"/>
    <s v="Electronics"/>
    <s v="Mouse"/>
    <n v="382.71"/>
    <x v="1"/>
    <n v="1"/>
    <n v="6"/>
  </r>
  <r>
    <s v="C084"/>
    <d v="2025-08-05T00:00:00"/>
    <s v="08-2025"/>
    <s v="Clothing"/>
    <s v="Jeans"/>
    <n v="116.98"/>
    <x v="0"/>
    <n v="1"/>
    <n v="5"/>
  </r>
  <r>
    <s v="C085"/>
    <d v="2025-09-30T00:00:00"/>
    <s v="09-2025"/>
    <s v="Electronics"/>
    <s v="Keyboard"/>
    <n v="365.25"/>
    <x v="3"/>
    <n v="1"/>
    <n v="4"/>
  </r>
  <r>
    <s v="C018"/>
    <d v="2025-10-07T00:00:00"/>
    <s v="10-2025"/>
    <s v="Clothing"/>
    <s v="Jacket"/>
    <n v="274.32"/>
    <x v="0"/>
    <n v="1"/>
    <n v="6"/>
  </r>
  <r>
    <s v="C019"/>
    <d v="2025-07-08T00:00:00"/>
    <s v="07-2025"/>
    <s v="Clothing"/>
    <s v="Shoes"/>
    <n v="366.4"/>
    <x v="2"/>
    <n v="1"/>
    <n v="6"/>
  </r>
  <r>
    <s v="C145"/>
    <d v="2025-10-29T00:00:00"/>
    <s v="10-2025"/>
    <s v="Electronics"/>
    <s v="Mouse"/>
    <n v="163.05000000000001"/>
    <x v="2"/>
    <n v="1"/>
    <n v="2"/>
  </r>
  <r>
    <s v="C015"/>
    <d v="2025-07-17T00:00:00"/>
    <s v="07-2025"/>
    <s v="Beauty"/>
    <s v="Shampoo"/>
    <n v="248.56"/>
    <x v="3"/>
    <n v="1"/>
    <n v="6"/>
  </r>
  <r>
    <s v="C122"/>
    <d v="2025-06-07T00:00:00"/>
    <s v="06-2025"/>
    <s v="Sports"/>
    <s v="Soccer Ball"/>
    <n v="466.81"/>
    <x v="0"/>
    <n v="1"/>
    <n v="5"/>
  </r>
  <r>
    <s v="C161"/>
    <d v="2025-08-11T00:00:00"/>
    <s v="08-2025"/>
    <s v="Clothing"/>
    <s v="Sweater"/>
    <n v="30.29"/>
    <x v="0"/>
    <n v="1"/>
    <n v="5"/>
  </r>
  <r>
    <s v="C076"/>
    <d v="2025-12-21T00:00:00"/>
    <s v="12-2025"/>
    <s v="Beauty"/>
    <s v="Shampoo"/>
    <n v="183.74"/>
    <x v="6"/>
    <n v="1"/>
    <n v="6"/>
  </r>
  <r>
    <s v="C017"/>
    <d v="2025-10-31T00:00:00"/>
    <s v="10-2025"/>
    <s v="Electronics"/>
    <s v="Mouse"/>
    <n v="192.96"/>
    <x v="1"/>
    <n v="1"/>
    <n v="6"/>
  </r>
  <r>
    <s v="C020"/>
    <d v="2025-11-24T00:00:00"/>
    <s v="11-2025"/>
    <s v="Clothing"/>
    <s v="Jacket"/>
    <n v="343.73"/>
    <x v="6"/>
    <n v="1"/>
    <n v="5"/>
  </r>
  <r>
    <s v="C076"/>
    <d v="2025-07-28T00:00:00"/>
    <s v="07-2025"/>
    <s v="Electronics"/>
    <s v="Headphones"/>
    <n v="343.81"/>
    <x v="2"/>
    <n v="1"/>
    <n v="6"/>
  </r>
  <r>
    <s v="C028"/>
    <d v="2026-02-02T00:00:00"/>
    <s v="02-2026"/>
    <s v="Beauty"/>
    <s v="Perfume"/>
    <n v="57.7"/>
    <x v="4"/>
    <n v="1"/>
    <n v="3"/>
  </r>
  <r>
    <s v="C064"/>
    <d v="2025-06-30T00:00:00"/>
    <s v="06-2025"/>
    <s v="Home"/>
    <s v="Lamp"/>
    <n v="385.06"/>
    <x v="6"/>
    <n v="1"/>
    <n v="4"/>
  </r>
  <r>
    <s v="C076"/>
    <d v="2025-10-30T00:00:00"/>
    <s v="10-2025"/>
    <s v="Sports"/>
    <s v="Tennis Racket"/>
    <n v="276.02999999999997"/>
    <x v="1"/>
    <n v="1"/>
    <n v="6"/>
  </r>
  <r>
    <s v="C071"/>
    <d v="2025-06-27T00:00:00"/>
    <s v="06-2025"/>
    <s v="Electronics"/>
    <s v="Smartphone"/>
    <n v="314.23"/>
    <x v="2"/>
    <n v="1"/>
    <n v="6"/>
  </r>
  <r>
    <s v="C156"/>
    <d v="2025-10-15T00:00:00"/>
    <s v="10-2025"/>
    <s v="Sports"/>
    <s v="Dumbbells"/>
    <n v="99.12"/>
    <x v="4"/>
    <n v="1"/>
    <n v="3"/>
  </r>
  <r>
    <s v="C060"/>
    <d v="2025-08-04T00:00:00"/>
    <s v="08-2025"/>
    <s v="Beauty"/>
    <s v="Lotion"/>
    <n v="345.42"/>
    <x v="4"/>
    <n v="1"/>
    <n v="3"/>
  </r>
  <r>
    <s v="C027"/>
    <d v="2025-10-22T00:00:00"/>
    <s v="10-2025"/>
    <s v="Clothing"/>
    <s v="Shoes"/>
    <n v="386.54"/>
    <x v="4"/>
    <n v="1"/>
    <n v="2"/>
  </r>
  <r>
    <s v="C075"/>
    <d v="2025-08-22T00:00:00"/>
    <s v="08-2025"/>
    <s v="Sports"/>
    <s v="Soccer Ball"/>
    <n v="331.45"/>
    <x v="4"/>
    <n v="1"/>
    <n v="8"/>
  </r>
  <r>
    <s v="C174"/>
    <d v="2025-06-10T00:00:00"/>
    <s v="06-2025"/>
    <s v="Home"/>
    <s v="Microwave"/>
    <n v="387.95"/>
    <x v="6"/>
    <n v="1"/>
    <n v="3"/>
  </r>
  <r>
    <s v="C014"/>
    <d v="2025-03-04T00:00:00"/>
    <s v="03-2025"/>
    <s v="Clothing"/>
    <s v="Shoes"/>
    <n v="37.409999999999997"/>
    <x v="2"/>
    <n v="1"/>
    <n v="2"/>
  </r>
  <r>
    <s v="C066"/>
    <d v="2026-01-16T00:00:00"/>
    <s v="01-2026"/>
    <s v="Electronics"/>
    <s v="Keyboard"/>
    <n v="111.74"/>
    <x v="2"/>
    <n v="1"/>
    <n v="2"/>
  </r>
  <r>
    <s v="C107"/>
    <d v="2025-12-04T00:00:00"/>
    <s v="12-2025"/>
    <s v="Electronics"/>
    <s v="Keyboard"/>
    <n v="56.25"/>
    <x v="0"/>
    <n v="1"/>
    <n v="5"/>
  </r>
  <r>
    <s v="C039"/>
    <d v="2025-10-12T00:00:00"/>
    <s v="10-2025"/>
    <s v="Beauty"/>
    <s v="Lotion"/>
    <n v="431.53"/>
    <x v="0"/>
    <n v="1"/>
    <n v="2"/>
  </r>
  <r>
    <s v="C019"/>
    <d v="2025-05-15T00:00:00"/>
    <s v="05-2025"/>
    <s v="Home"/>
    <s v="Blender"/>
    <n v="136.83000000000001"/>
    <x v="2"/>
    <n v="1"/>
    <n v="6"/>
  </r>
  <r>
    <s v="C016"/>
    <d v="2025-05-26T00:00:00"/>
    <s v="05-2025"/>
    <s v="Home"/>
    <s v="Microwave"/>
    <n v="226.43"/>
    <x v="4"/>
    <n v="1"/>
    <n v="9"/>
  </r>
  <r>
    <s v="C196"/>
    <d v="2026-01-05T00:00:00"/>
    <s v="01-2026"/>
    <s v="Beauty"/>
    <s v="Lipstick"/>
    <n v="49.55"/>
    <x v="2"/>
    <n v="1"/>
    <n v="5"/>
  </r>
  <r>
    <s v="C196"/>
    <d v="2025-03-16T00:00:00"/>
    <s v="03-2025"/>
    <s v="Clothing"/>
    <s v="Sweater"/>
    <n v="185.06"/>
    <x v="4"/>
    <n v="1"/>
    <n v="5"/>
  </r>
  <r>
    <s v="C016"/>
    <d v="2025-11-05T00:00:00"/>
    <s v="11-2025"/>
    <s v="Home"/>
    <s v="Chair"/>
    <n v="454.39"/>
    <x v="5"/>
    <n v="1"/>
    <n v="9"/>
  </r>
  <r>
    <s v="C188"/>
    <d v="2026-02-22T00:00:00"/>
    <s v="02-2026"/>
    <s v="Home"/>
    <s v="Chair"/>
    <n v="117.25"/>
    <x v="2"/>
    <n v="1"/>
    <n v="6"/>
  </r>
  <r>
    <s v="C104"/>
    <d v="2025-08-01T00:00:00"/>
    <s v="08-2025"/>
    <s v="Beauty"/>
    <s v="Lotion"/>
    <n v="245.19"/>
    <x v="5"/>
    <n v="0"/>
    <n v="1"/>
  </r>
  <r>
    <s v="C181"/>
    <d v="2025-07-12T00:00:00"/>
    <s v="07-2025"/>
    <s v="Beauty"/>
    <s v="Shampoo"/>
    <n v="292.11"/>
    <x v="0"/>
    <n v="1"/>
    <n v="3"/>
  </r>
  <r>
    <s v="C005"/>
    <d v="2025-08-05T00:00:00"/>
    <s v="08-2025"/>
    <s v="Electronics"/>
    <s v="Keyboard"/>
    <n v="432.05"/>
    <x v="5"/>
    <n v="1"/>
    <n v="4"/>
  </r>
  <r>
    <s v="C140"/>
    <d v="2025-09-01T00:00:00"/>
    <s v="09-2025"/>
    <s v="Beauty"/>
    <s v="Shampoo"/>
    <n v="176.97"/>
    <x v="3"/>
    <n v="1"/>
    <n v="5"/>
  </r>
  <r>
    <s v="C068"/>
    <d v="2025-09-11T00:00:00"/>
    <s v="09-2025"/>
    <s v="Electronics"/>
    <s v="Smartphone"/>
    <n v="279.60000000000002"/>
    <x v="6"/>
    <n v="0"/>
    <n v="1"/>
  </r>
  <r>
    <s v="C132"/>
    <d v="2025-05-29T00:00:00"/>
    <s v="05-2025"/>
    <s v="Electronics"/>
    <s v="Laptop"/>
    <n v="64.17"/>
    <x v="2"/>
    <n v="1"/>
    <n v="4"/>
  </r>
  <r>
    <s v="C063"/>
    <d v="2025-04-28T00:00:00"/>
    <s v="04-2025"/>
    <s v="Sports"/>
    <s v="Sneakers"/>
    <n v="254.1"/>
    <x v="1"/>
    <n v="1"/>
    <n v="4"/>
  </r>
  <r>
    <s v="C101"/>
    <d v="2025-04-11T00:00:00"/>
    <s v="04-2025"/>
    <s v="Sports"/>
    <s v="Soccer Ball"/>
    <n v="373.18"/>
    <x v="6"/>
    <n v="1"/>
    <n v="6"/>
  </r>
  <r>
    <s v="C057"/>
    <d v="2025-09-25T00:00:00"/>
    <s v="09-2025"/>
    <s v="Sports"/>
    <s v="Tennis Racket"/>
    <n v="161.63"/>
    <x v="3"/>
    <n v="1"/>
    <n v="10"/>
  </r>
  <r>
    <s v="C141"/>
    <d v="2025-04-07T00:00:00"/>
    <s v="04-2025"/>
    <s v="Clothing"/>
    <s v="Sweater"/>
    <n v="82.96"/>
    <x v="6"/>
    <n v="1"/>
    <n v="2"/>
  </r>
  <r>
    <s v="C148"/>
    <d v="2025-04-17T00:00:00"/>
    <s v="04-2025"/>
    <s v="Clothing"/>
    <s v="Jacket"/>
    <n v="210.28"/>
    <x v="0"/>
    <n v="1"/>
    <n v="4"/>
  </r>
  <r>
    <s v="C092"/>
    <d v="2025-11-26T00:00:00"/>
    <s v="11-2025"/>
    <s v="Sports"/>
    <s v="Dumbbells"/>
    <n v="143.75"/>
    <x v="4"/>
    <n v="1"/>
    <n v="5"/>
  </r>
  <r>
    <s v="C152"/>
    <d v="2025-11-19T00:00:00"/>
    <s v="11-2025"/>
    <s v="Beauty"/>
    <s v="Perfume"/>
    <n v="426.24"/>
    <x v="4"/>
    <n v="1"/>
    <n v="4"/>
  </r>
  <r>
    <s v="C195"/>
    <d v="2025-02-25T00:00:00"/>
    <s v="02-2025"/>
    <s v="Electronics"/>
    <s v="Keyboard"/>
    <n v="325.52999999999997"/>
    <x v="1"/>
    <n v="1"/>
    <n v="5"/>
  </r>
  <r>
    <s v="C139"/>
    <d v="2025-05-04T00:00:00"/>
    <s v="05-2025"/>
    <s v="Home"/>
    <s v="Blender"/>
    <n v="237.13"/>
    <x v="0"/>
    <n v="1"/>
    <n v="5"/>
  </r>
  <r>
    <s v="C107"/>
    <d v="2025-03-04T00:00:00"/>
    <s v="03-2025"/>
    <s v="Home"/>
    <s v="Blender"/>
    <n v="98.36"/>
    <x v="1"/>
    <n v="1"/>
    <n v="5"/>
  </r>
  <r>
    <s v="C122"/>
    <d v="2025-06-15T00:00:00"/>
    <s v="06-2025"/>
    <s v="Home"/>
    <s v="Lamp"/>
    <n v="353.37"/>
    <x v="3"/>
    <n v="1"/>
    <n v="5"/>
  </r>
  <r>
    <s v="C112"/>
    <d v="2026-01-02T00:00:00"/>
    <s v="01-2026"/>
    <s v="Sports"/>
    <s v="Yoga Mat"/>
    <n v="146.5"/>
    <x v="6"/>
    <n v="1"/>
    <n v="6"/>
  </r>
  <r>
    <s v="C100"/>
    <d v="2025-09-11T00:00:00"/>
    <s v="09-2025"/>
    <s v="Sports"/>
    <s v="Sneakers"/>
    <n v="103.3"/>
    <x v="5"/>
    <n v="1"/>
    <n v="2"/>
  </r>
  <r>
    <s v="C029"/>
    <d v="2025-04-09T00:00:00"/>
    <s v="04-2025"/>
    <s v="Clothing"/>
    <s v="Jeans"/>
    <n v="32.49"/>
    <x v="6"/>
    <n v="1"/>
    <n v="6"/>
  </r>
  <r>
    <s v="C083"/>
    <d v="2025-04-22T00:00:00"/>
    <s v="04-2025"/>
    <s v="Electronics"/>
    <s v="Keyboard"/>
    <n v="181.88"/>
    <x v="3"/>
    <n v="1"/>
    <n v="3"/>
  </r>
  <r>
    <s v="C097"/>
    <d v="2025-06-19T00:00:00"/>
    <s v="06-2025"/>
    <s v="Electronics"/>
    <s v="Mouse"/>
    <n v="412.42"/>
    <x v="3"/>
    <n v="1"/>
    <n v="2"/>
  </r>
  <r>
    <s v="C020"/>
    <d v="2026-01-08T00:00:00"/>
    <s v="01-2026"/>
    <s v="Sports"/>
    <s v="Soccer Ball"/>
    <n v="431.8"/>
    <x v="0"/>
    <n v="1"/>
    <n v="5"/>
  </r>
  <r>
    <s v="C127"/>
    <d v="2025-07-15T00:00:00"/>
    <s v="07-2025"/>
    <s v="Home"/>
    <s v="Lamp"/>
    <n v="302.52"/>
    <x v="4"/>
    <n v="1"/>
    <n v="5"/>
  </r>
  <r>
    <s v="C198"/>
    <d v="2025-06-27T00:00:00"/>
    <s v="06-2025"/>
    <s v="Beauty"/>
    <s v="Lotion"/>
    <n v="443.86"/>
    <x v="5"/>
    <n v="1"/>
    <n v="5"/>
  </r>
  <r>
    <s v="C076"/>
    <d v="2025-11-21T00:00:00"/>
    <s v="11-2025"/>
    <s v="Beauty"/>
    <s v="Perfume"/>
    <n v="142.18"/>
    <x v="5"/>
    <n v="1"/>
    <n v="6"/>
  </r>
  <r>
    <s v="C001"/>
    <d v="2025-11-30T00:00:00"/>
    <s v="11-2025"/>
    <s v="Beauty"/>
    <s v="Shampoo"/>
    <n v="426.57"/>
    <x v="0"/>
    <n v="1"/>
    <n v="4"/>
  </r>
  <r>
    <s v="C153"/>
    <d v="2025-09-18T00:00:00"/>
    <s v="09-2025"/>
    <s v="Electronics"/>
    <s v="Keyboard"/>
    <n v="320.55"/>
    <x v="6"/>
    <n v="1"/>
    <n v="3"/>
  </r>
  <r>
    <s v="C197"/>
    <d v="2025-06-08T00:00:00"/>
    <s v="06-2025"/>
    <s v="Beauty"/>
    <s v="Shampoo"/>
    <n v="452.79"/>
    <x v="2"/>
    <n v="1"/>
    <n v="4"/>
  </r>
  <r>
    <s v="C162"/>
    <d v="2025-06-03T00:00:00"/>
    <s v="06-2025"/>
    <s v="Sports"/>
    <s v="Sneakers"/>
    <n v="418.22"/>
    <x v="6"/>
    <n v="1"/>
    <n v="4"/>
  </r>
  <r>
    <s v="C059"/>
    <d v="2025-10-02T00:00:00"/>
    <s v="10-2025"/>
    <s v="Home"/>
    <s v="Lamp"/>
    <n v="412.55"/>
    <x v="2"/>
    <n v="1"/>
    <n v="2"/>
  </r>
  <r>
    <s v="C016"/>
    <d v="2025-07-27T00:00:00"/>
    <s v="07-2025"/>
    <s v="Electronics"/>
    <s v="Keyboard"/>
    <n v="148.24"/>
    <x v="6"/>
    <n v="1"/>
    <n v="9"/>
  </r>
  <r>
    <s v="C016"/>
    <d v="2025-08-28T00:00:00"/>
    <s v="08-2025"/>
    <s v="Sports"/>
    <s v="Soccer Ball"/>
    <n v="273.20999999999998"/>
    <x v="6"/>
    <n v="1"/>
    <n v="9"/>
  </r>
  <r>
    <s v="C029"/>
    <d v="2025-10-31T00:00:00"/>
    <s v="10-2025"/>
    <s v="Home"/>
    <s v="Blender"/>
    <n v="296.10000000000002"/>
    <x v="1"/>
    <n v="1"/>
    <n v="6"/>
  </r>
  <r>
    <s v="C061"/>
    <d v="2026-01-24T00:00:00"/>
    <s v="01-2026"/>
    <s v="Beauty"/>
    <s v="Shampoo"/>
    <n v="428.11"/>
    <x v="3"/>
    <n v="1"/>
    <n v="4"/>
  </r>
  <r>
    <s v="C111"/>
    <d v="2025-08-14T00:00:00"/>
    <s v="08-2025"/>
    <s v="Clothing"/>
    <s v="Jeans"/>
    <n v="291.07"/>
    <x v="5"/>
    <n v="1"/>
    <n v="6"/>
  </r>
  <r>
    <s v="C155"/>
    <d v="2025-10-25T00:00:00"/>
    <s v="10-2025"/>
    <s v="Beauty"/>
    <s v="Lotion"/>
    <n v="177.42"/>
    <x v="4"/>
    <n v="1"/>
    <n v="3"/>
  </r>
  <r>
    <s v="C128"/>
    <d v="2025-10-12T00:00:00"/>
    <s v="10-2025"/>
    <s v="Electronics"/>
    <s v="Laptop"/>
    <n v="475.85"/>
    <x v="1"/>
    <n v="1"/>
    <n v="2"/>
  </r>
  <r>
    <s v="C175"/>
    <d v="2025-04-23T00:00:00"/>
    <s v="04-2025"/>
    <s v="Home"/>
    <s v="Chair"/>
    <n v="151.07"/>
    <x v="0"/>
    <n v="1"/>
    <n v="3"/>
  </r>
  <r>
    <s v="C145"/>
    <d v="2025-11-12T00:00:00"/>
    <s v="11-2025"/>
    <s v="Clothing"/>
    <s v="Jeans"/>
    <n v="290.98"/>
    <x v="3"/>
    <n v="1"/>
    <n v="2"/>
  </r>
  <r>
    <s v="C087"/>
    <d v="2025-12-17T00:00:00"/>
    <s v="12-2025"/>
    <s v="Clothing"/>
    <s v="Sweater"/>
    <n v="102.81"/>
    <x v="5"/>
    <n v="1"/>
    <n v="2"/>
  </r>
  <r>
    <s v="C069"/>
    <d v="2025-05-10T00:00:00"/>
    <s v="05-2025"/>
    <s v="Clothing"/>
    <s v="Jacket"/>
    <n v="293.63"/>
    <x v="5"/>
    <n v="1"/>
    <n v="7"/>
  </r>
  <r>
    <s v="C065"/>
    <d v="2025-08-18T00:00:00"/>
    <s v="08-2025"/>
    <s v="Home"/>
    <s v="Microwave"/>
    <n v="261.89999999999998"/>
    <x v="1"/>
    <n v="1"/>
    <n v="4"/>
  </r>
  <r>
    <s v="C108"/>
    <d v="2025-12-17T00:00:00"/>
    <s v="12-2025"/>
    <s v="Home"/>
    <s v="Lamp"/>
    <n v="342.21"/>
    <x v="6"/>
    <n v="1"/>
    <n v="4"/>
  </r>
  <r>
    <s v="C189"/>
    <d v="2025-04-13T00:00:00"/>
    <s v="04-2025"/>
    <s v="Electronics"/>
    <s v="Laptop"/>
    <n v="298.67"/>
    <x v="0"/>
    <n v="1"/>
    <n v="3"/>
  </r>
  <r>
    <s v="C194"/>
    <d v="2026-01-15T00:00:00"/>
    <s v="01-2026"/>
    <s v="Sports"/>
    <s v="Sneakers"/>
    <n v="334.28"/>
    <x v="4"/>
    <n v="1"/>
    <n v="7"/>
  </r>
  <r>
    <s v="C170"/>
    <d v="2025-08-17T00:00:00"/>
    <s v="08-2025"/>
    <s v="Beauty"/>
    <s v="Foundation"/>
    <n v="62.17"/>
    <x v="1"/>
    <n v="1"/>
    <n v="4"/>
  </r>
  <r>
    <s v="C020"/>
    <d v="2025-06-26T00:00:00"/>
    <s v="06-2025"/>
    <s v="Electronics"/>
    <s v="Laptop"/>
    <n v="484.12"/>
    <x v="4"/>
    <n v="1"/>
    <n v="5"/>
  </r>
  <r>
    <s v="C102"/>
    <d v="2025-12-11T00:00:00"/>
    <s v="12-2025"/>
    <s v="Sports"/>
    <s v="Dumbbells"/>
    <n v="205.27"/>
    <x v="5"/>
    <n v="1"/>
    <n v="5"/>
  </r>
  <r>
    <s v="C073"/>
    <d v="2025-04-25T00:00:00"/>
    <s v="04-2025"/>
    <s v="Home"/>
    <s v="Microwave"/>
    <n v="307.76"/>
    <x v="3"/>
    <n v="1"/>
    <n v="5"/>
  </r>
  <r>
    <s v="C059"/>
    <d v="2025-08-14T00:00:00"/>
    <s v="08-2025"/>
    <s v="Home"/>
    <s v="Chair"/>
    <n v="81.64"/>
    <x v="2"/>
    <n v="1"/>
    <n v="2"/>
  </r>
  <r>
    <s v="C189"/>
    <d v="2025-11-08T00:00:00"/>
    <s v="11-2025"/>
    <s v="Electronics"/>
    <s v="Mouse"/>
    <n v="429.97"/>
    <x v="5"/>
    <n v="1"/>
    <n v="3"/>
  </r>
  <r>
    <s v="C025"/>
    <d v="2026-01-03T00:00:00"/>
    <s v="01-2026"/>
    <s v="Beauty"/>
    <s v="Shampoo"/>
    <n v="190.25"/>
    <x v="1"/>
    <n v="1"/>
    <n v="6"/>
  </r>
  <r>
    <s v="C003"/>
    <d v="2025-11-04T00:00:00"/>
    <s v="11-2025"/>
    <s v="Sports"/>
    <s v="Dumbbells"/>
    <n v="389.73"/>
    <x v="2"/>
    <n v="1"/>
    <n v="5"/>
  </r>
  <r>
    <s v="C180"/>
    <d v="2025-03-28T00:00:00"/>
    <s v="03-2025"/>
    <s v="Beauty"/>
    <s v="Shampoo"/>
    <n v="83.06"/>
    <x v="6"/>
    <n v="1"/>
    <n v="6"/>
  </r>
  <r>
    <s v="C028"/>
    <d v="2026-01-13T00:00:00"/>
    <s v="01-2026"/>
    <s v="Clothing"/>
    <s v="T-shirt"/>
    <n v="242.37"/>
    <x v="3"/>
    <n v="1"/>
    <n v="3"/>
  </r>
  <r>
    <s v="C196"/>
    <d v="2025-07-08T00:00:00"/>
    <s v="07-2025"/>
    <s v="Beauty"/>
    <s v="Perfume"/>
    <n v="134.13999999999999"/>
    <x v="6"/>
    <n v="1"/>
    <n v="5"/>
  </r>
  <r>
    <s v="C049"/>
    <d v="2025-07-26T00:00:00"/>
    <s v="07-2025"/>
    <s v="Electronics"/>
    <s v="Headphones"/>
    <n v="52.12"/>
    <x v="6"/>
    <n v="1"/>
    <n v="4"/>
  </r>
  <r>
    <s v="C164"/>
    <d v="2025-08-27T00:00:00"/>
    <s v="08-2025"/>
    <s v="Electronics"/>
    <s v="Headphones"/>
    <n v="486.88"/>
    <x v="2"/>
    <n v="1"/>
    <n v="5"/>
  </r>
  <r>
    <s v="C118"/>
    <d v="2025-06-19T00:00:00"/>
    <s v="06-2025"/>
    <s v="Electronics"/>
    <s v="Keyboard"/>
    <n v="48.18"/>
    <x v="2"/>
    <n v="1"/>
    <n v="5"/>
  </r>
  <r>
    <s v="C188"/>
    <d v="2025-10-09T00:00:00"/>
    <s v="10-2025"/>
    <s v="Clothing"/>
    <s v="Jeans"/>
    <n v="255.94"/>
    <x v="6"/>
    <n v="1"/>
    <n v="6"/>
  </r>
  <r>
    <s v="C108"/>
    <d v="2026-01-15T00:00:00"/>
    <s v="01-2026"/>
    <s v="Clothing"/>
    <s v="Jacket"/>
    <n v="44.3"/>
    <x v="2"/>
    <n v="1"/>
    <n v="4"/>
  </r>
  <r>
    <s v="C016"/>
    <d v="2025-06-14T00:00:00"/>
    <s v="06-2025"/>
    <s v="Clothing"/>
    <s v="Jacket"/>
    <n v="146.19999999999999"/>
    <x v="1"/>
    <n v="1"/>
    <n v="9"/>
  </r>
  <r>
    <s v="C081"/>
    <d v="2025-02-22T00:00:00"/>
    <s v="02-2025"/>
    <s v="Sports"/>
    <s v="Tennis Racket"/>
    <n v="45.53"/>
    <x v="3"/>
    <n v="1"/>
    <n v="4"/>
  </r>
  <r>
    <s v="C199"/>
    <d v="2025-10-11T00:00:00"/>
    <s v="10-2025"/>
    <s v="Clothing"/>
    <s v="Shoes"/>
    <n v="494.33"/>
    <x v="3"/>
    <n v="1"/>
    <n v="7"/>
  </r>
  <r>
    <s v="C179"/>
    <d v="2025-04-05T00:00:00"/>
    <s v="04-2025"/>
    <s v="Beauty"/>
    <s v="Lotion"/>
    <n v="122.44"/>
    <x v="2"/>
    <n v="1"/>
    <n v="3"/>
  </r>
  <r>
    <s v="C018"/>
    <d v="2025-11-09T00:00:00"/>
    <s v="11-2025"/>
    <s v="Electronics"/>
    <s v="Headphones"/>
    <n v="79.13"/>
    <x v="3"/>
    <n v="1"/>
    <n v="6"/>
  </r>
  <r>
    <s v="C025"/>
    <d v="2025-05-20T00:00:00"/>
    <s v="05-2025"/>
    <s v="Home"/>
    <s v="Chair"/>
    <n v="490.64"/>
    <x v="4"/>
    <n v="1"/>
    <n v="6"/>
  </r>
  <r>
    <s v="C148"/>
    <d v="2025-09-11T00:00:00"/>
    <s v="09-2025"/>
    <s v="Sports"/>
    <s v="Tennis Racket"/>
    <n v="343.55"/>
    <x v="1"/>
    <n v="1"/>
    <n v="4"/>
  </r>
  <r>
    <s v="C109"/>
    <d v="2025-08-01T00:00:00"/>
    <s v="08-2025"/>
    <s v="Beauty"/>
    <s v="Perfume"/>
    <n v="490.34"/>
    <x v="1"/>
    <n v="1"/>
    <n v="4"/>
  </r>
  <r>
    <s v="C012"/>
    <d v="2026-02-09T00:00:00"/>
    <s v="02-2026"/>
    <s v="Beauty"/>
    <s v="Shampoo"/>
    <n v="180.9"/>
    <x v="5"/>
    <n v="1"/>
    <n v="4"/>
  </r>
  <r>
    <s v="C047"/>
    <d v="2025-09-19T00:00:00"/>
    <s v="09-2025"/>
    <s v="Beauty"/>
    <s v="Lotion"/>
    <n v="122.19"/>
    <x v="3"/>
    <n v="1"/>
    <n v="3"/>
  </r>
  <r>
    <s v="C111"/>
    <d v="2025-12-17T00:00:00"/>
    <s v="12-2025"/>
    <s v="Clothing"/>
    <s v="Jeans"/>
    <n v="389.91"/>
    <x v="0"/>
    <n v="1"/>
    <n v="6"/>
  </r>
  <r>
    <s v="C078"/>
    <d v="2025-04-02T00:00:00"/>
    <s v="04-2025"/>
    <s v="Electronics"/>
    <s v="Headphones"/>
    <n v="38.99"/>
    <x v="1"/>
    <n v="1"/>
    <n v="5"/>
  </r>
  <r>
    <s v="C005"/>
    <d v="2025-06-22T00:00:00"/>
    <s v="06-2025"/>
    <s v="Clothing"/>
    <s v="Shoes"/>
    <n v="182.26"/>
    <x v="4"/>
    <n v="1"/>
    <n v="4"/>
  </r>
  <r>
    <s v="C197"/>
    <d v="2025-08-14T00:00:00"/>
    <s v="08-2025"/>
    <s v="Clothing"/>
    <s v="Jacket"/>
    <n v="124.84"/>
    <x v="0"/>
    <n v="1"/>
    <n v="4"/>
  </r>
  <r>
    <s v="C108"/>
    <d v="2025-04-13T00:00:00"/>
    <s v="04-2025"/>
    <s v="Electronics"/>
    <s v="Smartphone"/>
    <n v="40.92"/>
    <x v="1"/>
    <n v="1"/>
    <n v="4"/>
  </r>
  <r>
    <s v="C017"/>
    <d v="2025-04-23T00:00:00"/>
    <s v="04-2025"/>
    <s v="Electronics"/>
    <s v="Laptop"/>
    <n v="311.41000000000003"/>
    <x v="1"/>
    <n v="1"/>
    <n v="6"/>
  </r>
  <r>
    <s v="C130"/>
    <d v="2025-10-02T00:00:00"/>
    <s v="10-2025"/>
    <s v="Home"/>
    <s v="Blender"/>
    <n v="180.61"/>
    <x v="5"/>
    <n v="1"/>
    <n v="5"/>
  </r>
  <r>
    <s v="C186"/>
    <d v="2025-03-31T00:00:00"/>
    <s v="03-2025"/>
    <s v="Sports"/>
    <s v="Dumbbells"/>
    <n v="168.14"/>
    <x v="2"/>
    <n v="1"/>
    <n v="3"/>
  </r>
  <r>
    <s v="C095"/>
    <d v="2026-01-18T00:00:00"/>
    <s v="01-2026"/>
    <s v="Home"/>
    <s v="Toaster"/>
    <n v="283.36"/>
    <x v="2"/>
    <n v="1"/>
    <n v="2"/>
  </r>
  <r>
    <s v="C077"/>
    <d v="2025-12-31T00:00:00"/>
    <s v="12-2025"/>
    <s v="Home"/>
    <s v="Microwave"/>
    <n v="433.24"/>
    <x v="3"/>
    <n v="1"/>
    <n v="3"/>
  </r>
  <r>
    <s v="C053"/>
    <d v="2025-09-09T00:00:00"/>
    <s v="09-2025"/>
    <s v="Electronics"/>
    <s v="Keyboard"/>
    <n v="452.64"/>
    <x v="3"/>
    <n v="1"/>
    <n v="3"/>
  </r>
  <r>
    <s v="C130"/>
    <d v="2026-01-12T00:00:00"/>
    <s v="01-2026"/>
    <s v="Electronics"/>
    <s v="Smartphone"/>
    <n v="253.4"/>
    <x v="2"/>
    <n v="1"/>
    <n v="5"/>
  </r>
  <r>
    <s v="C047"/>
    <d v="2026-01-09T00:00:00"/>
    <s v="01-2026"/>
    <s v="Clothing"/>
    <s v="Jeans"/>
    <n v="239.98"/>
    <x v="5"/>
    <n v="1"/>
    <n v="3"/>
  </r>
  <r>
    <s v="C156"/>
    <d v="2025-04-17T00:00:00"/>
    <s v="04-2025"/>
    <s v="Sports"/>
    <s v="Dumbbells"/>
    <n v="165.97"/>
    <x v="1"/>
    <n v="1"/>
    <n v="3"/>
  </r>
  <r>
    <s v="C150"/>
    <d v="2025-12-24T00:00:00"/>
    <s v="12-2025"/>
    <s v="Home"/>
    <s v="Microwave"/>
    <n v="148.46"/>
    <x v="1"/>
    <n v="1"/>
    <n v="3"/>
  </r>
  <r>
    <s v="C151"/>
    <d v="2025-10-03T00:00:00"/>
    <s v="10-2025"/>
    <s v="Clothing"/>
    <s v="Jacket"/>
    <n v="105.4"/>
    <x v="6"/>
    <n v="0"/>
    <n v="1"/>
  </r>
  <r>
    <s v="C115"/>
    <d v="2025-07-20T00:00:00"/>
    <s v="07-2025"/>
    <s v="Electronics"/>
    <s v="Laptop"/>
    <n v="187.66"/>
    <x v="0"/>
    <n v="1"/>
    <n v="2"/>
  </r>
  <r>
    <s v="C198"/>
    <d v="2025-08-02T00:00:00"/>
    <s v="08-2025"/>
    <s v="Sports"/>
    <s v="Tennis Racket"/>
    <n v="133.41999999999999"/>
    <x v="0"/>
    <n v="1"/>
    <n v="5"/>
  </r>
  <r>
    <s v="C183"/>
    <d v="2026-01-23T00:00:00"/>
    <s v="01-2026"/>
    <s v="Home"/>
    <s v="Microwave"/>
    <n v="137.66999999999999"/>
    <x v="2"/>
    <n v="1"/>
    <n v="9"/>
  </r>
  <r>
    <s v="C159"/>
    <d v="2025-06-23T00:00:00"/>
    <s v="06-2025"/>
    <s v="Home"/>
    <s v="Lamp"/>
    <n v="123.55"/>
    <x v="6"/>
    <n v="1"/>
    <n v="5"/>
  </r>
  <r>
    <s v="C188"/>
    <d v="2025-12-19T00:00:00"/>
    <s v="12-2025"/>
    <s v="Home"/>
    <s v="Blender"/>
    <n v="195.7"/>
    <x v="1"/>
    <n v="1"/>
    <n v="6"/>
  </r>
  <r>
    <s v="C042"/>
    <d v="2025-07-17T00:00:00"/>
    <s v="07-2025"/>
    <s v="Electronics"/>
    <s v="Laptop"/>
    <n v="438.28"/>
    <x v="6"/>
    <n v="1"/>
    <n v="3"/>
  </r>
  <r>
    <s v="C138"/>
    <d v="2025-10-03T00:00:00"/>
    <s v="10-2025"/>
    <s v="Sports"/>
    <s v="Soccer Ball"/>
    <n v="92.46"/>
    <x v="3"/>
    <n v="1"/>
    <n v="4"/>
  </r>
  <r>
    <s v="C179"/>
    <d v="2025-11-03T00:00:00"/>
    <s v="11-2025"/>
    <s v="Electronics"/>
    <s v="Laptop"/>
    <n v="342.83"/>
    <x v="3"/>
    <n v="1"/>
    <n v="3"/>
  </r>
  <r>
    <s v="C029"/>
    <d v="2025-07-19T00:00:00"/>
    <s v="07-2025"/>
    <s v="Clothing"/>
    <s v="T-shirt"/>
    <n v="314.33999999999997"/>
    <x v="4"/>
    <n v="1"/>
    <n v="6"/>
  </r>
  <r>
    <s v="C137"/>
    <d v="2025-08-08T00:00:00"/>
    <s v="08-2025"/>
    <s v="Sports"/>
    <s v="Soccer Ball"/>
    <n v="208.92"/>
    <x v="1"/>
    <n v="1"/>
    <n v="5"/>
  </r>
  <r>
    <s v="C090"/>
    <d v="2025-03-27T00:00:00"/>
    <s v="03-2025"/>
    <s v="Electronics"/>
    <s v="Smartphone"/>
    <n v="97.16"/>
    <x v="3"/>
    <n v="0"/>
    <n v="1"/>
  </r>
  <r>
    <s v="C189"/>
    <d v="2026-01-01T00:00:00"/>
    <s v="01-2026"/>
    <s v="Electronics"/>
    <s v="Headphones"/>
    <n v="121.61"/>
    <x v="2"/>
    <n v="1"/>
    <n v="3"/>
  </r>
  <r>
    <s v="C011"/>
    <d v="2025-06-17T00:00:00"/>
    <s v="06-2025"/>
    <s v="Electronics"/>
    <s v="Keyboard"/>
    <n v="384.81"/>
    <x v="6"/>
    <n v="0"/>
    <n v="1"/>
  </r>
  <r>
    <s v="C033"/>
    <d v="2025-12-16T00:00:00"/>
    <s v="12-2025"/>
    <s v="Sports"/>
    <s v="Tennis Racket"/>
    <n v="75.33"/>
    <x v="4"/>
    <n v="1"/>
    <n v="5"/>
  </r>
  <r>
    <s v="C134"/>
    <d v="2026-02-21T00:00:00"/>
    <s v="02-2026"/>
    <s v="Beauty"/>
    <s v="Foundation"/>
    <n v="186.49"/>
    <x v="1"/>
    <n v="1"/>
    <n v="6"/>
  </r>
  <r>
    <s v="C043"/>
    <d v="2025-05-16T00:00:00"/>
    <s v="05-2025"/>
    <s v="Sports"/>
    <s v="Yoga Mat"/>
    <n v="298.33"/>
    <x v="1"/>
    <n v="1"/>
    <n v="6"/>
  </r>
  <r>
    <s v="C048"/>
    <d v="2026-01-14T00:00:00"/>
    <s v="01-2026"/>
    <s v="Sports"/>
    <s v="Soccer Ball"/>
    <n v="239.15"/>
    <x v="0"/>
    <n v="1"/>
    <n v="2"/>
  </r>
  <r>
    <s v="C016"/>
    <d v="2025-09-06T00:00:00"/>
    <s v="09-2025"/>
    <s v="Home"/>
    <s v="Chair"/>
    <n v="47.86"/>
    <x v="2"/>
    <n v="1"/>
    <n v="9"/>
  </r>
  <r>
    <s v="C110"/>
    <d v="2025-03-24T00:00:00"/>
    <s v="03-2025"/>
    <s v="Clothing"/>
    <s v="Jacket"/>
    <n v="439.5"/>
    <x v="1"/>
    <n v="1"/>
    <n v="3"/>
  </r>
  <r>
    <s v="C107"/>
    <d v="2025-11-30T00:00:00"/>
    <s v="11-2025"/>
    <s v="Sports"/>
    <s v="Tennis Racket"/>
    <n v="384.52"/>
    <x v="6"/>
    <n v="1"/>
    <n v="5"/>
  </r>
  <r>
    <s v="C013"/>
    <d v="2025-08-29T00:00:00"/>
    <s v="08-2025"/>
    <s v="Sports"/>
    <s v="Dumbbells"/>
    <n v="297.08999999999997"/>
    <x v="6"/>
    <n v="0"/>
    <n v="1"/>
  </r>
  <r>
    <s v="C087"/>
    <d v="2025-05-24T00:00:00"/>
    <s v="05-2025"/>
    <s v="Electronics"/>
    <s v="Headphones"/>
    <n v="313.3"/>
    <x v="6"/>
    <n v="1"/>
    <n v="2"/>
  </r>
  <r>
    <s v="C113"/>
    <d v="2025-11-16T00:00:00"/>
    <s v="11-2025"/>
    <s v="Sports"/>
    <s v="Soccer Ball"/>
    <n v="242.85"/>
    <x v="5"/>
    <n v="1"/>
    <n v="5"/>
  </r>
  <r>
    <s v="C062"/>
    <d v="2025-06-24T00:00:00"/>
    <s v="06-2025"/>
    <s v="Sports"/>
    <s v="Yoga Mat"/>
    <n v="48.51"/>
    <x v="5"/>
    <n v="1"/>
    <n v="3"/>
  </r>
  <r>
    <s v="C056"/>
    <d v="2026-01-06T00:00:00"/>
    <s v="01-2026"/>
    <s v="Clothing"/>
    <s v="Sweater"/>
    <n v="199.15"/>
    <x v="4"/>
    <n v="1"/>
    <n v="3"/>
  </r>
  <r>
    <s v="C031"/>
    <d v="2025-06-14T00:00:00"/>
    <s v="06-2025"/>
    <s v="Electronics"/>
    <s v="Headphones"/>
    <n v="361.84"/>
    <x v="6"/>
    <n v="1"/>
    <n v="5"/>
  </r>
  <r>
    <s v="C139"/>
    <d v="2025-08-30T00:00:00"/>
    <s v="08-2025"/>
    <s v="Sports"/>
    <s v="Tennis Racket"/>
    <n v="394.33"/>
    <x v="5"/>
    <n v="1"/>
    <n v="5"/>
  </r>
  <r>
    <s v="C072"/>
    <d v="2025-12-16T00:00:00"/>
    <s v="12-2025"/>
    <s v="Beauty"/>
    <s v="Foundation"/>
    <n v="110.75"/>
    <x v="6"/>
    <n v="1"/>
    <n v="4"/>
  </r>
  <r>
    <s v="C024"/>
    <d v="2025-08-10T00:00:00"/>
    <s v="08-2025"/>
    <s v="Beauty"/>
    <s v="Shampoo"/>
    <n v="242.09"/>
    <x v="1"/>
    <n v="1"/>
    <n v="3"/>
  </r>
  <r>
    <s v="C079"/>
    <d v="2025-11-21T00:00:00"/>
    <s v="11-2025"/>
    <s v="Sports"/>
    <s v="Tennis Racket"/>
    <n v="412.34"/>
    <x v="0"/>
    <n v="1"/>
    <n v="3"/>
  </r>
  <r>
    <s v="C126"/>
    <d v="2025-10-14T00:00:00"/>
    <s v="10-2025"/>
    <s v="Electronics"/>
    <s v="Laptop"/>
    <n v="86.35"/>
    <x v="1"/>
    <n v="1"/>
    <n v="2"/>
  </r>
  <r>
    <s v="C114"/>
    <d v="2025-07-14T00:00:00"/>
    <s v="07-2025"/>
    <s v="Electronics"/>
    <s v="Headphones"/>
    <n v="450.74"/>
    <x v="5"/>
    <n v="1"/>
    <n v="4"/>
  </r>
  <r>
    <s v="C142"/>
    <d v="2025-08-21T00:00:00"/>
    <s v="08-2025"/>
    <s v="Clothing"/>
    <s v="Jacket"/>
    <n v="298.17"/>
    <x v="6"/>
    <n v="1"/>
    <n v="6"/>
  </r>
  <r>
    <s v="C053"/>
    <d v="2025-12-18T00:00:00"/>
    <s v="12-2025"/>
    <s v="Beauty"/>
    <s v="Lotion"/>
    <n v="265.3"/>
    <x v="6"/>
    <n v="1"/>
    <n v="3"/>
  </r>
  <r>
    <s v="C134"/>
    <d v="2025-05-08T00:00:00"/>
    <s v="05-2025"/>
    <s v="Clothing"/>
    <s v="Jeans"/>
    <n v="385.86"/>
    <x v="3"/>
    <n v="1"/>
    <n v="6"/>
  </r>
  <r>
    <s v="C069"/>
    <d v="2025-12-03T00:00:00"/>
    <s v="12-2025"/>
    <s v="Beauty"/>
    <s v="Perfume"/>
    <n v="349.05"/>
    <x v="6"/>
    <n v="1"/>
    <n v="7"/>
  </r>
  <r>
    <s v="C091"/>
    <d v="2025-09-18T00:00:00"/>
    <s v="09-2025"/>
    <s v="Beauty"/>
    <s v="Lipstick"/>
    <n v="203.76"/>
    <x v="6"/>
    <n v="1"/>
    <n v="5"/>
  </r>
  <r>
    <s v="C195"/>
    <d v="2025-11-24T00:00:00"/>
    <s v="11-2025"/>
    <s v="Home"/>
    <s v="Microwave"/>
    <n v="251.5"/>
    <x v="6"/>
    <n v="1"/>
    <n v="5"/>
  </r>
  <r>
    <s v="C031"/>
    <d v="2025-05-26T00:00:00"/>
    <s v="05-2025"/>
    <s v="Electronics"/>
    <s v="Smartphone"/>
    <n v="191.68"/>
    <x v="2"/>
    <n v="1"/>
    <n v="5"/>
  </r>
  <r>
    <s v="C150"/>
    <d v="2025-08-13T00:00:00"/>
    <s v="08-2025"/>
    <s v="Sports"/>
    <s v="Yoga Mat"/>
    <n v="234.57"/>
    <x v="3"/>
    <n v="1"/>
    <n v="3"/>
  </r>
  <r>
    <s v="C118"/>
    <d v="2025-11-01T00:00:00"/>
    <s v="11-2025"/>
    <s v="Home"/>
    <s v="Microwave"/>
    <n v="202.75"/>
    <x v="0"/>
    <n v="1"/>
    <n v="5"/>
  </r>
  <r>
    <s v="C164"/>
    <d v="2025-07-20T00:00:00"/>
    <s v="07-2025"/>
    <s v="Sports"/>
    <s v="Yoga Mat"/>
    <n v="51.95"/>
    <x v="3"/>
    <n v="1"/>
    <n v="5"/>
  </r>
  <r>
    <s v="C160"/>
    <d v="2025-03-21T00:00:00"/>
    <s v="03-2025"/>
    <s v="Clothing"/>
    <s v="T-shirt"/>
    <n v="38.28"/>
    <x v="1"/>
    <n v="1"/>
    <n v="2"/>
  </r>
  <r>
    <s v="C181"/>
    <d v="2026-01-03T00:00:00"/>
    <s v="01-2026"/>
    <s v="Clothing"/>
    <s v="Sweater"/>
    <n v="467.36"/>
    <x v="4"/>
    <n v="1"/>
    <n v="3"/>
  </r>
  <r>
    <s v="C113"/>
    <d v="2026-01-10T00:00:00"/>
    <s v="01-2026"/>
    <s v="Sports"/>
    <s v="Tennis Racket"/>
    <n v="440.66"/>
    <x v="5"/>
    <n v="1"/>
    <n v="5"/>
  </r>
  <r>
    <s v="C117"/>
    <d v="2026-01-30T00:00:00"/>
    <s v="01-2026"/>
    <s v="Clothing"/>
    <s v="Jacket"/>
    <n v="95.84"/>
    <x v="3"/>
    <n v="1"/>
    <n v="5"/>
  </r>
  <r>
    <s v="C114"/>
    <d v="2025-12-24T00:00:00"/>
    <s v="12-2025"/>
    <s v="Clothing"/>
    <s v="Jeans"/>
    <n v="231.69"/>
    <x v="0"/>
    <n v="1"/>
    <n v="4"/>
  </r>
  <r>
    <s v="C116"/>
    <d v="2025-06-15T00:00:00"/>
    <s v="06-2025"/>
    <s v="Sports"/>
    <s v="Soccer Ball"/>
    <n v="20.92"/>
    <x v="3"/>
    <n v="1"/>
    <n v="2"/>
  </r>
  <r>
    <s v="C003"/>
    <d v="2025-03-12T00:00:00"/>
    <s v="03-2025"/>
    <s v="Sports"/>
    <s v="Sneakers"/>
    <n v="342.08"/>
    <x v="0"/>
    <n v="1"/>
    <n v="5"/>
  </r>
  <r>
    <s v="C096"/>
    <d v="2025-10-27T00:00:00"/>
    <s v="10-2025"/>
    <s v="Electronics"/>
    <s v="Keyboard"/>
    <n v="412.36"/>
    <x v="0"/>
    <n v="1"/>
    <n v="2"/>
  </r>
  <r>
    <s v="C082"/>
    <d v="2025-07-24T00:00:00"/>
    <s v="07-2025"/>
    <s v="Clothing"/>
    <s v="Shoes"/>
    <n v="338.64"/>
    <x v="5"/>
    <n v="1"/>
    <n v="6"/>
  </r>
  <r>
    <s v="C155"/>
    <d v="2025-09-24T00:00:00"/>
    <s v="09-2025"/>
    <s v="Clothing"/>
    <s v="Jeans"/>
    <n v="183.08"/>
    <x v="6"/>
    <n v="1"/>
    <n v="3"/>
  </r>
  <r>
    <s v="C061"/>
    <d v="2026-02-08T00:00:00"/>
    <s v="02-2026"/>
    <s v="Beauty"/>
    <s v="Foundation"/>
    <n v="227.41"/>
    <x v="5"/>
    <n v="1"/>
    <n v="4"/>
  </r>
  <r>
    <s v="C103"/>
    <d v="2025-10-07T00:00:00"/>
    <s v="10-2025"/>
    <s v="Home"/>
    <s v="Toaster"/>
    <n v="499.57"/>
    <x v="3"/>
    <n v="1"/>
    <n v="3"/>
  </r>
  <r>
    <s v="C156"/>
    <d v="2025-03-17T00:00:00"/>
    <s v="03-2025"/>
    <s v="Electronics"/>
    <s v="Laptop"/>
    <n v="103.68"/>
    <x v="3"/>
    <n v="1"/>
    <n v="3"/>
  </r>
  <r>
    <s v="C072"/>
    <d v="2025-09-20T00:00:00"/>
    <s v="09-2025"/>
    <s v="Electronics"/>
    <s v="Mouse"/>
    <n v="453.76"/>
    <x v="0"/>
    <n v="1"/>
    <n v="4"/>
  </r>
  <r>
    <s v="C084"/>
    <d v="2025-04-02T00:00:00"/>
    <s v="04-2025"/>
    <s v="Home"/>
    <s v="Chair"/>
    <n v="484.75"/>
    <x v="5"/>
    <n v="1"/>
    <n v="5"/>
  </r>
  <r>
    <s v="C075"/>
    <d v="2025-07-04T00:00:00"/>
    <s v="07-2025"/>
    <s v="Clothing"/>
    <s v="Sweater"/>
    <n v="444.11"/>
    <x v="1"/>
    <n v="1"/>
    <n v="8"/>
  </r>
  <r>
    <s v="C186"/>
    <d v="2025-02-27T00:00:00"/>
    <s v="02-2025"/>
    <s v="Clothing"/>
    <s v="Shoes"/>
    <n v="68.900000000000006"/>
    <x v="3"/>
    <n v="1"/>
    <n v="3"/>
  </r>
  <r>
    <s v="C134"/>
    <d v="2025-11-09T00:00:00"/>
    <s v="11-2025"/>
    <s v="Beauty"/>
    <s v="Lipstick"/>
    <n v="317.32"/>
    <x v="0"/>
    <n v="1"/>
    <n v="6"/>
  </r>
  <r>
    <s v="C132"/>
    <d v="2025-09-23T00:00:00"/>
    <s v="09-2025"/>
    <s v="Home"/>
    <s v="Microwave"/>
    <n v="415.86"/>
    <x v="2"/>
    <n v="1"/>
    <n v="4"/>
  </r>
  <r>
    <s v="C057"/>
    <d v="2025-03-29T00:00:00"/>
    <s v="03-2025"/>
    <s v="Clothing"/>
    <s v="T-shirt"/>
    <n v="118.71"/>
    <x v="6"/>
    <n v="1"/>
    <n v="10"/>
  </r>
  <r>
    <s v="C018"/>
    <d v="2025-08-21T00:00:00"/>
    <s v="08-2025"/>
    <s v="Home"/>
    <s v="Blender"/>
    <n v="248.25"/>
    <x v="4"/>
    <n v="1"/>
    <n v="6"/>
  </r>
  <r>
    <s v="C101"/>
    <d v="2026-02-02T00:00:00"/>
    <s v="02-2026"/>
    <s v="Clothing"/>
    <s v="Shoes"/>
    <n v="38.119999999999997"/>
    <x v="6"/>
    <n v="1"/>
    <n v="6"/>
  </r>
  <r>
    <s v="C070"/>
    <d v="2025-08-14T00:00:00"/>
    <s v="08-2025"/>
    <s v="Sports"/>
    <s v="Yoga Mat"/>
    <n v="402.5"/>
    <x v="0"/>
    <n v="1"/>
    <n v="4"/>
  </r>
  <r>
    <s v="C159"/>
    <d v="2025-08-06T00:00:00"/>
    <s v="08-2025"/>
    <s v="Beauty"/>
    <s v="Shampoo"/>
    <n v="156.04"/>
    <x v="3"/>
    <n v="1"/>
    <n v="5"/>
  </r>
  <r>
    <s v="C008"/>
    <d v="2025-02-27T00:00:00"/>
    <s v="02-2025"/>
    <s v="Home"/>
    <s v="Chair"/>
    <n v="426.61"/>
    <x v="6"/>
    <n v="1"/>
    <n v="4"/>
  </r>
  <r>
    <s v="C086"/>
    <d v="2025-12-17T00:00:00"/>
    <s v="12-2025"/>
    <s v="Home"/>
    <s v="Microwave"/>
    <n v="159.81"/>
    <x v="4"/>
    <n v="1"/>
    <n v="4"/>
  </r>
  <r>
    <s v="C061"/>
    <d v="2025-06-10T00:00:00"/>
    <s v="06-2025"/>
    <s v="Home"/>
    <s v="Chair"/>
    <n v="254.17"/>
    <x v="2"/>
    <n v="1"/>
    <n v="4"/>
  </r>
  <r>
    <s v="C180"/>
    <d v="2025-06-22T00:00:00"/>
    <s v="06-2025"/>
    <s v="Beauty"/>
    <s v="Lotion"/>
    <n v="200.97"/>
    <x v="6"/>
    <n v="1"/>
    <n v="6"/>
  </r>
  <r>
    <s v="C040"/>
    <d v="2025-11-21T00:00:00"/>
    <s v="11-2025"/>
    <s v="Electronics"/>
    <s v="Headphones"/>
    <n v="307.49"/>
    <x v="6"/>
    <n v="1"/>
    <n v="4"/>
  </r>
  <r>
    <s v="C114"/>
    <d v="2025-08-14T00:00:00"/>
    <s v="08-2025"/>
    <s v="Beauty"/>
    <s v="Lotion"/>
    <n v="238.09"/>
    <x v="5"/>
    <n v="1"/>
    <n v="4"/>
  </r>
  <r>
    <s v="C171"/>
    <d v="2025-07-10T00:00:00"/>
    <s v="07-2025"/>
    <s v="Beauty"/>
    <s v="Perfume"/>
    <n v="344.73"/>
    <x v="4"/>
    <n v="1"/>
    <n v="3"/>
  </r>
  <r>
    <s v="C037"/>
    <d v="2025-09-21T00:00:00"/>
    <s v="09-2025"/>
    <s v="Sports"/>
    <s v="Dumbbells"/>
    <n v="114.02"/>
    <x v="6"/>
    <n v="1"/>
    <n v="5"/>
  </r>
  <r>
    <s v="C194"/>
    <d v="2025-04-21T00:00:00"/>
    <s v="04-2025"/>
    <s v="Sports"/>
    <s v="Dumbbells"/>
    <n v="44.6"/>
    <x v="5"/>
    <n v="1"/>
    <n v="7"/>
  </r>
  <r>
    <s v="C127"/>
    <d v="2025-07-28T00:00:00"/>
    <s v="07-2025"/>
    <s v="Clothing"/>
    <s v="Jeans"/>
    <n v="21.4"/>
    <x v="5"/>
    <n v="1"/>
    <n v="5"/>
  </r>
  <r>
    <s v="C192"/>
    <d v="2025-03-28T00:00:00"/>
    <s v="03-2025"/>
    <s v="Electronics"/>
    <s v="Mouse"/>
    <n v="395.58"/>
    <x v="3"/>
    <n v="1"/>
    <n v="7"/>
  </r>
  <r>
    <s v="C057"/>
    <d v="2025-12-26T00:00:00"/>
    <s v="12-2025"/>
    <s v="Clothing"/>
    <s v="Jeans"/>
    <n v="117.53"/>
    <x v="0"/>
    <n v="1"/>
    <n v="10"/>
  </r>
  <r>
    <s v="C015"/>
    <d v="2025-06-16T00:00:00"/>
    <s v="06-2025"/>
    <s v="Home"/>
    <s v="Blender"/>
    <n v="51.22"/>
    <x v="1"/>
    <n v="1"/>
    <n v="6"/>
  </r>
  <r>
    <s v="C128"/>
    <d v="2025-03-19T00:00:00"/>
    <s v="03-2025"/>
    <s v="Beauty"/>
    <s v="Lipstick"/>
    <n v="39.99"/>
    <x v="4"/>
    <n v="1"/>
    <n v="2"/>
  </r>
  <r>
    <s v="C065"/>
    <d v="2025-04-13T00:00:00"/>
    <s v="04-2025"/>
    <s v="Home"/>
    <s v="Microwave"/>
    <n v="308.27999999999997"/>
    <x v="4"/>
    <n v="1"/>
    <n v="4"/>
  </r>
  <r>
    <s v="C167"/>
    <d v="2025-10-16T00:00:00"/>
    <s v="10-2025"/>
    <s v="Clothing"/>
    <s v="Jeans"/>
    <n v="122.29"/>
    <x v="0"/>
    <n v="1"/>
    <n v="3"/>
  </r>
  <r>
    <s v="C131"/>
    <d v="2025-04-26T00:00:00"/>
    <s v="04-2025"/>
    <s v="Electronics"/>
    <s v="Mouse"/>
    <n v="190.03"/>
    <x v="6"/>
    <n v="1"/>
    <n v="2"/>
  </r>
  <r>
    <s v="C083"/>
    <d v="2025-08-24T00:00:00"/>
    <s v="08-2025"/>
    <s v="Beauty"/>
    <s v="Shampoo"/>
    <n v="233.51"/>
    <x v="3"/>
    <n v="1"/>
    <n v="3"/>
  </r>
  <r>
    <s v="C016"/>
    <d v="2025-06-08T00:00:00"/>
    <s v="06-2025"/>
    <s v="Clothing"/>
    <s v="T-shirt"/>
    <n v="78.42"/>
    <x v="3"/>
    <n v="1"/>
    <n v="9"/>
  </r>
  <r>
    <s v="C085"/>
    <d v="2025-11-07T00:00:00"/>
    <s v="11-2025"/>
    <s v="Sports"/>
    <s v="Yoga Mat"/>
    <n v="21.07"/>
    <x v="6"/>
    <n v="1"/>
    <n v="4"/>
  </r>
  <r>
    <s v="C033"/>
    <d v="2025-10-19T00:00:00"/>
    <s v="10-2025"/>
    <s v="Beauty"/>
    <s v="Lotion"/>
    <n v="394.29"/>
    <x v="6"/>
    <n v="1"/>
    <n v="5"/>
  </r>
  <r>
    <s v="C070"/>
    <d v="2025-08-14T00:00:00"/>
    <s v="08-2025"/>
    <s v="Home"/>
    <s v="Chair"/>
    <n v="357.63"/>
    <x v="5"/>
    <n v="1"/>
    <n v="4"/>
  </r>
  <r>
    <s v="C064"/>
    <d v="2025-03-02T00:00:00"/>
    <s v="03-2025"/>
    <s v="Sports"/>
    <s v="Soccer Ball"/>
    <n v="69.98"/>
    <x v="4"/>
    <n v="1"/>
    <n v="4"/>
  </r>
  <r>
    <s v="C063"/>
    <d v="2025-11-27T00:00:00"/>
    <s v="11-2025"/>
    <s v="Home"/>
    <s v="Blender"/>
    <n v="84.05"/>
    <x v="5"/>
    <n v="1"/>
    <n v="4"/>
  </r>
  <r>
    <s v="C034"/>
    <d v="2026-01-12T00:00:00"/>
    <s v="01-2026"/>
    <s v="Home"/>
    <s v="Chair"/>
    <n v="93.21"/>
    <x v="3"/>
    <n v="1"/>
    <n v="4"/>
  </r>
  <r>
    <s v="C058"/>
    <d v="2025-12-15T00:00:00"/>
    <s v="12-2025"/>
    <s v="Sports"/>
    <s v="Soccer Ball"/>
    <n v="71.3"/>
    <x v="1"/>
    <n v="1"/>
    <n v="4"/>
  </r>
  <r>
    <s v="C111"/>
    <d v="2025-03-18T00:00:00"/>
    <s v="03-2025"/>
    <s v="Clothing"/>
    <s v="Shoes"/>
    <n v="322.27"/>
    <x v="4"/>
    <n v="1"/>
    <n v="6"/>
  </r>
  <r>
    <s v="C036"/>
    <d v="2025-05-24T00:00:00"/>
    <s v="05-2025"/>
    <s v="Sports"/>
    <s v="Soccer Ball"/>
    <n v="255.15"/>
    <x v="0"/>
    <n v="1"/>
    <n v="4"/>
  </r>
  <r>
    <s v="C014"/>
    <d v="2025-11-04T00:00:00"/>
    <s v="11-2025"/>
    <s v="Beauty"/>
    <s v="Lotion"/>
    <n v="138.85"/>
    <x v="5"/>
    <n v="1"/>
    <n v="2"/>
  </r>
  <r>
    <s v="C175"/>
    <d v="2025-12-06T00:00:00"/>
    <s v="12-2025"/>
    <s v="Electronics"/>
    <s v="Keyboard"/>
    <n v="60.22"/>
    <x v="2"/>
    <n v="1"/>
    <n v="3"/>
  </r>
  <r>
    <s v="C073"/>
    <d v="2025-10-29T00:00:00"/>
    <s v="10-2025"/>
    <s v="Electronics"/>
    <s v="Keyboard"/>
    <n v="423.45"/>
    <x v="5"/>
    <n v="1"/>
    <n v="5"/>
  </r>
  <r>
    <s v="C103"/>
    <d v="2025-11-15T00:00:00"/>
    <s v="11-2025"/>
    <s v="Clothing"/>
    <s v="Jacket"/>
    <n v="232.77"/>
    <x v="6"/>
    <n v="1"/>
    <n v="3"/>
  </r>
  <r>
    <s v="C053"/>
    <d v="2025-06-22T00:00:00"/>
    <s v="06-2025"/>
    <s v="Home"/>
    <s v="Chair"/>
    <n v="218.82"/>
    <x v="3"/>
    <n v="1"/>
    <n v="3"/>
  </r>
  <r>
    <s v="C192"/>
    <d v="2025-11-05T00:00:00"/>
    <s v="11-2025"/>
    <s v="Beauty"/>
    <s v="Perfume"/>
    <n v="270.98"/>
    <x v="4"/>
    <n v="1"/>
    <n v="7"/>
  </r>
  <r>
    <s v="C152"/>
    <d v="2025-11-03T00:00:00"/>
    <s v="11-2025"/>
    <s v="Clothing"/>
    <s v="Jeans"/>
    <n v="456.12"/>
    <x v="1"/>
    <n v="1"/>
    <n v="4"/>
  </r>
  <r>
    <s v="C029"/>
    <d v="2026-02-16T00:00:00"/>
    <s v="02-2026"/>
    <s v="Sports"/>
    <s v="Yoga Mat"/>
    <n v="274.74"/>
    <x v="3"/>
    <n v="1"/>
    <n v="6"/>
  </r>
  <r>
    <s v="C054"/>
    <d v="2025-03-26T00:00:00"/>
    <s v="03-2025"/>
    <s v="Clothing"/>
    <s v="Shoes"/>
    <n v="373.19"/>
    <x v="1"/>
    <n v="1"/>
    <n v="3"/>
  </r>
  <r>
    <s v="C122"/>
    <d v="2026-01-10T00:00:00"/>
    <s v="01-2026"/>
    <s v="Electronics"/>
    <s v="Keyboard"/>
    <n v="225.81"/>
    <x v="3"/>
    <n v="1"/>
    <n v="5"/>
  </r>
  <r>
    <s v="C135"/>
    <d v="2025-06-06T00:00:00"/>
    <s v="06-2025"/>
    <s v="Sports"/>
    <s v="Sneakers"/>
    <n v="286.98"/>
    <x v="3"/>
    <n v="1"/>
    <n v="2"/>
  </r>
  <r>
    <s v="C083"/>
    <d v="2026-02-11T00:00:00"/>
    <s v="02-2026"/>
    <s v="Beauty"/>
    <s v="Lotion"/>
    <n v="307.01"/>
    <x v="0"/>
    <n v="1"/>
    <n v="3"/>
  </r>
  <r>
    <s v="C148"/>
    <d v="2025-06-18T00:00:00"/>
    <s v="06-2025"/>
    <s v="Beauty"/>
    <s v="Lipstick"/>
    <n v="390.32"/>
    <x v="5"/>
    <n v="1"/>
    <n v="4"/>
  </r>
  <r>
    <s v="C162"/>
    <d v="2025-05-25T00:00:00"/>
    <s v="05-2025"/>
    <s v="Home"/>
    <s v="Chair"/>
    <n v="128.94"/>
    <x v="4"/>
    <n v="1"/>
    <n v="4"/>
  </r>
  <r>
    <s v="C137"/>
    <d v="2025-09-02T00:00:00"/>
    <s v="09-2025"/>
    <s v="Home"/>
    <s v="Microwave"/>
    <n v="445.84"/>
    <x v="0"/>
    <n v="1"/>
    <n v="5"/>
  </r>
  <r>
    <s v="C101"/>
    <d v="2025-09-02T00:00:00"/>
    <s v="09-2025"/>
    <s v="Clothing"/>
    <s v="Jacket"/>
    <n v="363.79"/>
    <x v="0"/>
    <n v="1"/>
    <n v="6"/>
  </r>
  <r>
    <s v="C052"/>
    <d v="2026-01-06T00:00:00"/>
    <s v="01-2026"/>
    <s v="Home"/>
    <s v="Lamp"/>
    <n v="91.18"/>
    <x v="6"/>
    <n v="1"/>
    <n v="2"/>
  </r>
  <r>
    <s v="C170"/>
    <d v="2025-08-07T00:00:00"/>
    <s v="08-2025"/>
    <s v="Beauty"/>
    <s v="Foundation"/>
    <n v="459.62"/>
    <x v="3"/>
    <n v="1"/>
    <n v="4"/>
  </r>
  <r>
    <s v="C129"/>
    <d v="2025-02-27T00:00:00"/>
    <s v="02-2025"/>
    <s v="Home"/>
    <s v="Blender"/>
    <n v="27.65"/>
    <x v="3"/>
    <n v="1"/>
    <n v="3"/>
  </r>
  <r>
    <s v="C012"/>
    <d v="2025-03-05T00:00:00"/>
    <s v="03-2025"/>
    <s v="Beauty"/>
    <s v="Perfume"/>
    <n v="70.81"/>
    <x v="0"/>
    <n v="1"/>
    <n v="4"/>
  </r>
  <r>
    <s v="C102"/>
    <d v="2025-08-04T00:00:00"/>
    <s v="08-2025"/>
    <s v="Home"/>
    <s v="Lamp"/>
    <n v="252.85"/>
    <x v="4"/>
    <n v="1"/>
    <n v="5"/>
  </r>
  <r>
    <s v="C119"/>
    <d v="2025-08-10T00:00:00"/>
    <s v="08-2025"/>
    <s v="Clothing"/>
    <s v="Sweater"/>
    <n v="240.17"/>
    <x v="1"/>
    <n v="1"/>
    <n v="6"/>
  </r>
  <r>
    <s v="C139"/>
    <d v="2025-09-20T00:00:00"/>
    <s v="09-2025"/>
    <s v="Clothing"/>
    <s v="Sweater"/>
    <n v="347.44"/>
    <x v="1"/>
    <n v="1"/>
    <n v="5"/>
  </r>
  <r>
    <s v="C142"/>
    <d v="2025-10-31T00:00:00"/>
    <s v="10-2025"/>
    <s v="Sports"/>
    <s v="Yoga Mat"/>
    <n v="87.38"/>
    <x v="6"/>
    <n v="1"/>
    <n v="6"/>
  </r>
  <r>
    <s v="C096"/>
    <d v="2026-01-21T00:00:00"/>
    <s v="01-2026"/>
    <s v="Beauty"/>
    <s v="Perfume"/>
    <n v="471.14"/>
    <x v="3"/>
    <n v="1"/>
    <n v="2"/>
  </r>
  <r>
    <s v="C140"/>
    <d v="2025-03-21T00:00:00"/>
    <s v="03-2025"/>
    <s v="Sports"/>
    <s v="Soccer Ball"/>
    <n v="292.77999999999997"/>
    <x v="2"/>
    <n v="1"/>
    <n v="5"/>
  </r>
  <r>
    <s v="C029"/>
    <d v="2025-12-07T00:00:00"/>
    <s v="12-2025"/>
    <s v="Beauty"/>
    <s v="Lotion"/>
    <n v="275.29000000000002"/>
    <x v="6"/>
    <n v="1"/>
    <n v="6"/>
  </r>
  <r>
    <s v="C164"/>
    <d v="2025-05-19T00:00:00"/>
    <s v="05-2025"/>
    <s v="Electronics"/>
    <s v="Smartphone"/>
    <n v="265.14999999999998"/>
    <x v="1"/>
    <n v="1"/>
    <n v="5"/>
  </r>
  <r>
    <s v="C057"/>
    <d v="2025-05-14T00:00:00"/>
    <s v="05-2025"/>
    <s v="Electronics"/>
    <s v="Headphones"/>
    <n v="57.23"/>
    <x v="0"/>
    <n v="1"/>
    <n v="10"/>
  </r>
  <r>
    <s v="C133"/>
    <d v="2025-10-13T00:00:00"/>
    <s v="10-2025"/>
    <s v="Clothing"/>
    <s v="Jacket"/>
    <n v="409.37"/>
    <x v="3"/>
    <n v="1"/>
    <n v="3"/>
  </r>
  <r>
    <s v="C197"/>
    <d v="2026-02-18T00:00:00"/>
    <s v="02-2026"/>
    <s v="Home"/>
    <s v="Toaster"/>
    <n v="73.27"/>
    <x v="5"/>
    <n v="1"/>
    <n v="4"/>
  </r>
  <r>
    <s v="C112"/>
    <d v="2025-05-02T00:00:00"/>
    <s v="05-2025"/>
    <s v="Clothing"/>
    <s v="Shoes"/>
    <n v="309.62"/>
    <x v="4"/>
    <n v="1"/>
    <n v="6"/>
  </r>
  <r>
    <s v="C135"/>
    <d v="2025-10-24T00:00:00"/>
    <s v="10-2025"/>
    <s v="Beauty"/>
    <s v="Perfume"/>
    <n v="38.840000000000003"/>
    <x v="3"/>
    <n v="1"/>
    <n v="2"/>
  </r>
  <r>
    <s v="C159"/>
    <d v="2026-01-18T00:00:00"/>
    <s v="01-2026"/>
    <s v="Home"/>
    <s v="Toaster"/>
    <n v="176"/>
    <x v="3"/>
    <n v="1"/>
    <n v="5"/>
  </r>
  <r>
    <s v="C015"/>
    <d v="2025-06-19T00:00:00"/>
    <s v="06-2025"/>
    <s v="Electronics"/>
    <s v="Smartphone"/>
    <n v="300.38"/>
    <x v="3"/>
    <n v="1"/>
    <n v="6"/>
  </r>
  <r>
    <m/>
    <m/>
    <m/>
    <m/>
    <m/>
    <m/>
    <x v="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O10" firstHeaderRow="1" firstDataRow="2" firstDataCol="1"/>
  <pivotFields count="11">
    <pivotField showAll="0"/>
    <pivotField showAll="0"/>
    <pivotField axis="axisCol" showAll="0">
      <items count="15">
        <item x="10"/>
        <item x="8"/>
        <item x="0"/>
        <item x="3"/>
        <item x="6"/>
        <item x="2"/>
        <item x="9"/>
        <item x="12"/>
        <item x="5"/>
        <item x="11"/>
        <item x="4"/>
        <item x="1"/>
        <item x="7"/>
        <item x="13"/>
        <item t="default"/>
      </items>
    </pivotField>
    <pivotField axis="axisRow" showAll="0">
      <items count="7">
        <item x="0"/>
        <item x="1"/>
        <item x="2"/>
        <item x="4"/>
        <item x="3"/>
        <item h="1" x="5"/>
        <item t="default"/>
      </items>
    </pivotField>
    <pivotField showAll="0"/>
    <pivotField dataField="1" showAll="0"/>
    <pivotField showAll="0">
      <items count="9">
        <item x="5"/>
        <item x="4"/>
        <item x="0"/>
        <item x="2"/>
        <item x="6"/>
        <item x="3"/>
        <item x="1"/>
        <item x="7"/>
        <item t="default"/>
      </items>
    </pivotField>
    <pivotField showAll="0"/>
    <pivotField showAll="0"/>
    <pivotField showAll="0"/>
    <pivotField showAll="0"/>
  </pivotFields>
  <rowFields count="1">
    <field x="3"/>
  </rowFields>
  <rowItems count="6">
    <i>
      <x/>
    </i>
    <i>
      <x v="1"/>
    </i>
    <i>
      <x v="2"/>
    </i>
    <i>
      <x v="3"/>
    </i>
    <i>
      <x v="4"/>
    </i>
    <i t="grand">
      <x/>
    </i>
  </rowItems>
  <colFields count="1">
    <field x="2"/>
  </colFields>
  <colItems count="14">
    <i>
      <x/>
    </i>
    <i>
      <x v="1"/>
    </i>
    <i>
      <x v="2"/>
    </i>
    <i>
      <x v="3"/>
    </i>
    <i>
      <x v="4"/>
    </i>
    <i>
      <x v="5"/>
    </i>
    <i>
      <x v="6"/>
    </i>
    <i>
      <x v="7"/>
    </i>
    <i>
      <x v="8"/>
    </i>
    <i>
      <x v="9"/>
    </i>
    <i>
      <x v="10"/>
    </i>
    <i>
      <x v="11"/>
    </i>
    <i>
      <x v="12"/>
    </i>
    <i t="grand">
      <x/>
    </i>
  </colItems>
  <dataFields count="1">
    <dataField name="Sum of Purchase Amount" fld="5" baseField="3" baseItem="0"/>
  </dataFields>
  <chartFormats count="14">
    <chartFormat chart="15" format="13" series="1">
      <pivotArea type="data" outline="0" fieldPosition="0">
        <references count="2">
          <reference field="4294967294" count="1" selected="0">
            <x v="0"/>
          </reference>
          <reference field="2" count="1" selected="0">
            <x v="0"/>
          </reference>
        </references>
      </pivotArea>
    </chartFormat>
    <chartFormat chart="15" format="14" series="1">
      <pivotArea type="data" outline="0" fieldPosition="0">
        <references count="2">
          <reference field="4294967294" count="1" selected="0">
            <x v="0"/>
          </reference>
          <reference field="2" count="1" selected="0">
            <x v="1"/>
          </reference>
        </references>
      </pivotArea>
    </chartFormat>
    <chartFormat chart="15" format="15" series="1">
      <pivotArea type="data" outline="0" fieldPosition="0">
        <references count="2">
          <reference field="4294967294" count="1" selected="0">
            <x v="0"/>
          </reference>
          <reference field="2" count="1" selected="0">
            <x v="2"/>
          </reference>
        </references>
      </pivotArea>
    </chartFormat>
    <chartFormat chart="15" format="16" series="1">
      <pivotArea type="data" outline="0" fieldPosition="0">
        <references count="2">
          <reference field="4294967294" count="1" selected="0">
            <x v="0"/>
          </reference>
          <reference field="2" count="1" selected="0">
            <x v="3"/>
          </reference>
        </references>
      </pivotArea>
    </chartFormat>
    <chartFormat chart="15" format="17" series="1">
      <pivotArea type="data" outline="0" fieldPosition="0">
        <references count="2">
          <reference field="4294967294" count="1" selected="0">
            <x v="0"/>
          </reference>
          <reference field="2" count="1" selected="0">
            <x v="4"/>
          </reference>
        </references>
      </pivotArea>
    </chartFormat>
    <chartFormat chart="15" format="18" series="1">
      <pivotArea type="data" outline="0" fieldPosition="0">
        <references count="2">
          <reference field="4294967294" count="1" selected="0">
            <x v="0"/>
          </reference>
          <reference field="2" count="1" selected="0">
            <x v="5"/>
          </reference>
        </references>
      </pivotArea>
    </chartFormat>
    <chartFormat chart="15" format="19" series="1">
      <pivotArea type="data" outline="0" fieldPosition="0">
        <references count="2">
          <reference field="4294967294" count="1" selected="0">
            <x v="0"/>
          </reference>
          <reference field="2" count="1" selected="0">
            <x v="6"/>
          </reference>
        </references>
      </pivotArea>
    </chartFormat>
    <chartFormat chart="15" format="20" series="1">
      <pivotArea type="data" outline="0" fieldPosition="0">
        <references count="2">
          <reference field="4294967294" count="1" selected="0">
            <x v="0"/>
          </reference>
          <reference field="2" count="1" selected="0">
            <x v="7"/>
          </reference>
        </references>
      </pivotArea>
    </chartFormat>
    <chartFormat chart="15" format="21" series="1">
      <pivotArea type="data" outline="0" fieldPosition="0">
        <references count="2">
          <reference field="4294967294" count="1" selected="0">
            <x v="0"/>
          </reference>
          <reference field="2" count="1" selected="0">
            <x v="8"/>
          </reference>
        </references>
      </pivotArea>
    </chartFormat>
    <chartFormat chart="15" format="22" series="1">
      <pivotArea type="data" outline="0" fieldPosition="0">
        <references count="2">
          <reference field="4294967294" count="1" selected="0">
            <x v="0"/>
          </reference>
          <reference field="2" count="1" selected="0">
            <x v="9"/>
          </reference>
        </references>
      </pivotArea>
    </chartFormat>
    <chartFormat chart="15" format="23" series="1">
      <pivotArea type="data" outline="0" fieldPosition="0">
        <references count="2">
          <reference field="4294967294" count="1" selected="0">
            <x v="0"/>
          </reference>
          <reference field="2" count="1" selected="0">
            <x v="10"/>
          </reference>
        </references>
      </pivotArea>
    </chartFormat>
    <chartFormat chart="15" format="24" series="1">
      <pivotArea type="data" outline="0" fieldPosition="0">
        <references count="2">
          <reference field="4294967294" count="1" selected="0">
            <x v="0"/>
          </reference>
          <reference field="2" count="1" selected="0">
            <x v="11"/>
          </reference>
        </references>
      </pivotArea>
    </chartFormat>
    <chartFormat chart="15" format="25" series="1">
      <pivotArea type="data" outline="0" fieldPosition="0">
        <references count="2">
          <reference field="4294967294" count="1" selected="0">
            <x v="0"/>
          </reference>
          <reference field="2" count="1" selected="0">
            <x v="12"/>
          </reference>
        </references>
      </pivotArea>
    </chartFormat>
    <chartFormat chart="15" format="26" series="1">
      <pivotArea type="data" outline="0" fieldPosition="0">
        <references count="2">
          <reference field="4294967294" count="1" selected="0">
            <x v="0"/>
          </reference>
          <reference field="2"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rowHeaderCaption="Location">
  <location ref="A3:B11" firstHeaderRow="1" firstDataRow="1" firstDataCol="1"/>
  <pivotFields count="11">
    <pivotField showAll="0"/>
    <pivotField showAll="0"/>
    <pivotField showAll="0"/>
    <pivotField showAll="0"/>
    <pivotField showAll="0"/>
    <pivotField dataField="1" showAll="0"/>
    <pivotField axis="axisRow" showAll="0">
      <items count="9">
        <item x="5"/>
        <item x="4"/>
        <item x="0"/>
        <item x="2"/>
        <item x="6"/>
        <item x="3"/>
        <item x="1"/>
        <item h="1" x="7"/>
        <item t="default"/>
      </items>
    </pivotField>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Revenue" fld="5" baseField="6"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6"/>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5"/>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3"/>
          </reference>
        </references>
      </pivotArea>
    </chartFormat>
    <chartFormat chart="0" format="7">
      <pivotArea type="data" outline="0" fieldPosition="0">
        <references count="2">
          <reference field="4294967294" count="1" selected="0">
            <x v="0"/>
          </reference>
          <reference field="6" count="1" selected="0">
            <x v="2"/>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6" count="1" selected="0">
            <x v="0"/>
          </reference>
        </references>
      </pivotArea>
    </chartFormat>
    <chartFormat chart="18" format="18">
      <pivotArea type="data" outline="0" fieldPosition="0">
        <references count="2">
          <reference field="4294967294" count="1" selected="0">
            <x v="0"/>
          </reference>
          <reference field="6" count="1" selected="0">
            <x v="1"/>
          </reference>
        </references>
      </pivotArea>
    </chartFormat>
    <chartFormat chart="18" format="19">
      <pivotArea type="data" outline="0" fieldPosition="0">
        <references count="2">
          <reference field="4294967294" count="1" selected="0">
            <x v="0"/>
          </reference>
          <reference field="6" count="1" selected="0">
            <x v="2"/>
          </reference>
        </references>
      </pivotArea>
    </chartFormat>
    <chartFormat chart="18" format="20">
      <pivotArea type="data" outline="0" fieldPosition="0">
        <references count="2">
          <reference field="4294967294" count="1" selected="0">
            <x v="0"/>
          </reference>
          <reference field="6" count="1" selected="0">
            <x v="3"/>
          </reference>
        </references>
      </pivotArea>
    </chartFormat>
    <chartFormat chart="18" format="21">
      <pivotArea type="data" outline="0" fieldPosition="0">
        <references count="2">
          <reference field="4294967294" count="1" selected="0">
            <x v="0"/>
          </reference>
          <reference field="6" count="1" selected="0">
            <x v="4"/>
          </reference>
        </references>
      </pivotArea>
    </chartFormat>
    <chartFormat chart="18" format="22">
      <pivotArea type="data" outline="0" fieldPosition="0">
        <references count="2">
          <reference field="4294967294" count="1" selected="0">
            <x v="0"/>
          </reference>
          <reference field="6" count="1" selected="0">
            <x v="5"/>
          </reference>
        </references>
      </pivotArea>
    </chartFormat>
    <chartFormat chart="18" format="23">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 Table 12" cacheId="8" applyNumberFormats="0" applyBorderFormats="0" applyFontFormats="0" applyPatternFormats="0" applyAlignmentFormats="0" applyWidthHeightFormats="0" dataCaption="" updatedVersion="5" compact="0" compactData="0">
  <location ref="A1:C17" firstHeaderRow="1" firstDataRow="2" firstDataCol="1"/>
  <pivotFields count="10">
    <pivotField name="Customer ID" dataField="1" compact="0" outline="0" multipleItemSelectionAllowed="1" showAll="0"/>
    <pivotField name="Purchase Date" compact="0" numFmtId="164" outline="0" multipleItemSelectionAllowed="1" showAll="0"/>
    <pivotField name="Month" axis="axisRow" compact="0" numFmtId="165" outline="0" multipleItemSelectionAllowed="1" showAll="0" sortType="ascending">
      <items count="15">
        <item x="10"/>
        <item x="8"/>
        <item x="0"/>
        <item x="3"/>
        <item x="6"/>
        <item x="2"/>
        <item x="9"/>
        <item x="12"/>
        <item x="5"/>
        <item x="11"/>
        <item x="4"/>
        <item x="1"/>
        <item x="7"/>
        <item x="13"/>
        <item t="default"/>
      </items>
    </pivotField>
    <pivotField name="Product Category" compact="0" outline="0" multipleItemSelectionAllowed="1" showAll="0"/>
    <pivotField name="Product Name" compact="0" outline="0" multipleItemSelectionAllowed="1" showAll="0"/>
    <pivotField name="Purchase Amount" dataField="1" compact="0" outline="0" multipleItemSelectionAllowed="1" showAll="0"/>
    <pivotField name="Location" compact="0" outline="0" multipleItemSelectionAllowed="1" showAll="0"/>
    <pivotField name="Repeat Customers" compact="0" outline="0" multipleItemSelectionAllowed="1" showAll="0"/>
    <pivotField name="Orders Count" compact="0" outline="0" multipleItemSelectionAllowed="1" showAll="0"/>
    <pivotField name="Customer Type" compact="0" outline="0" multipleItemSelectionAllowed="1" showAll="0"/>
  </pivotFields>
  <rowFields count="1">
    <field x="2"/>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Revenue" fld="5" baseField="0"/>
    <dataField name="Order Count" fld="0" subtotal="count" baseField="0"/>
  </dataFields>
  <pivotTableStyleInfo showRowHeaders="1" showColHeaders="1" showRowStripes="0" showColStripes="0" showLastColumn="1"/>
</pivotTableDefinition>
</file>

<file path=xl/pivotTables/pivotTable4.xml><?xml version="1.0" encoding="utf-8"?>
<pivotTableDefinition xmlns="http://schemas.openxmlformats.org/spreadsheetml/2006/main" name="Pivot Table 11" cacheId="8" applyNumberFormats="0" applyBorderFormats="0" applyFontFormats="0" applyPatternFormats="0" applyAlignmentFormats="0" applyWidthHeightFormats="0" dataCaption="" updatedVersion="5" compact="0" compactData="0">
  <location ref="A1:P9" firstHeaderRow="1" firstDataRow="2" firstDataCol="1"/>
  <pivotFields count="10">
    <pivotField name="Customer ID" compact="0" outline="0" multipleItemSelectionAllowed="1" showAll="0"/>
    <pivotField name="Purchase Date" compact="0" numFmtId="164" outline="0" multipleItemSelectionAllowed="1" showAll="0"/>
    <pivotField name="Month" axis="axisCol" compact="0" numFmtId="165" outline="0" multipleItemSelectionAllowed="1" showAll="0" sortType="ascending">
      <items count="15">
        <item x="10"/>
        <item x="8"/>
        <item x="0"/>
        <item x="3"/>
        <item x="6"/>
        <item x="2"/>
        <item x="9"/>
        <item x="12"/>
        <item x="5"/>
        <item x="11"/>
        <item x="4"/>
        <item x="1"/>
        <item x="7"/>
        <item x="13"/>
        <item t="default"/>
      </items>
    </pivotField>
    <pivotField name="Product Category" axis="axisRow" compact="0" outline="0" multipleItemSelectionAllowed="1" showAll="0" sortType="ascending">
      <items count="7">
        <item x="0"/>
        <item x="1"/>
        <item x="2"/>
        <item x="4"/>
        <item x="3"/>
        <item x="5"/>
        <item t="default"/>
      </items>
    </pivotField>
    <pivotField name="Product Name" compact="0" outline="0" multipleItemSelectionAllowed="1" showAll="0"/>
    <pivotField name="Purchase Amount" dataField="1" compact="0" outline="0" multipleItemSelectionAllowed="1" showAll="0"/>
    <pivotField name="Location" compact="0" outline="0" multipleItemSelectionAllowed="1" showAll="0"/>
    <pivotField name="Repeat Customers" compact="0" outline="0" multipleItemSelectionAllowed="1" showAll="0"/>
    <pivotField name="Orders Count" compact="0" outline="0" multipleItemSelectionAllowed="1" showAll="0"/>
    <pivotField name="Customer Type" compact="0" outline="0" multipleItemSelectionAllowed="1" showAll="0"/>
  </pivotFields>
  <rowFields count="1">
    <field x="3"/>
  </rowFields>
  <rowItems count="7">
    <i>
      <x/>
    </i>
    <i>
      <x v="1"/>
    </i>
    <i>
      <x v="2"/>
    </i>
    <i>
      <x v="3"/>
    </i>
    <i>
      <x v="4"/>
    </i>
    <i>
      <x v="5"/>
    </i>
    <i t="grand">
      <x/>
    </i>
  </rowItems>
  <colFields count="1">
    <field x="2"/>
  </colFields>
  <colItems count="15">
    <i>
      <x/>
    </i>
    <i>
      <x v="1"/>
    </i>
    <i>
      <x v="2"/>
    </i>
    <i>
      <x v="3"/>
    </i>
    <i>
      <x v="4"/>
    </i>
    <i>
      <x v="5"/>
    </i>
    <i>
      <x v="6"/>
    </i>
    <i>
      <x v="7"/>
    </i>
    <i>
      <x v="8"/>
    </i>
    <i>
      <x v="9"/>
    </i>
    <i>
      <x v="10"/>
    </i>
    <i>
      <x v="11"/>
    </i>
    <i>
      <x v="12"/>
    </i>
    <i>
      <x v="13"/>
    </i>
    <i t="grand">
      <x/>
    </i>
  </colItems>
  <dataFields count="1">
    <dataField name="Sales" fld="5" baseField="0"/>
  </dataFields>
  <pivotTableStyleInfo showRowHeaders="1" showColHeaders="1" showRowStripes="0" showColStripes="0" showLastColumn="1"/>
</pivotTableDefinition>
</file>

<file path=xl/pivotTables/pivotTable5.xml><?xml version="1.0" encoding="utf-8"?>
<pivotTableDefinition xmlns="http://schemas.openxmlformats.org/spreadsheetml/2006/main" name="Pivot Table 9" cacheId="8" applyNumberFormats="0" applyBorderFormats="0" applyFontFormats="0" applyPatternFormats="0" applyAlignmentFormats="0" applyWidthHeightFormats="0" dataCaption="" updatedVersion="5" compact="0" compactData="0">
  <location ref="A1:B16" firstHeaderRow="1" firstDataRow="1" firstDataCol="1"/>
  <pivotFields count="10">
    <pivotField name="Customer ID" compact="0" outline="0" multipleItemSelectionAllowed="1" showAll="0"/>
    <pivotField name="Purchase Date" compact="0" numFmtId="164" outline="0" multipleItemSelectionAllowed="1" showAll="0"/>
    <pivotField name="Month" axis="axisRow" compact="0" numFmtId="165" outline="0" multipleItemSelectionAllowed="1" showAll="0" sortType="ascending">
      <items count="15">
        <item x="10"/>
        <item x="8"/>
        <item x="0"/>
        <item x="3"/>
        <item x="6"/>
        <item x="2"/>
        <item x="9"/>
        <item x="12"/>
        <item x="5"/>
        <item x="11"/>
        <item x="4"/>
        <item x="1"/>
        <item x="7"/>
        <item x="13"/>
        <item t="default"/>
      </items>
    </pivotField>
    <pivotField name="Product Category" compact="0" outline="0" multipleItemSelectionAllowed="1" showAll="0"/>
    <pivotField name="Product Name" compact="0" outline="0" multipleItemSelectionAllowed="1" showAll="0"/>
    <pivotField name="Purchase Amount" dataField="1" compact="0" outline="0" multipleItemSelectionAllowed="1" showAll="0"/>
    <pivotField name="Location" compact="0" outline="0" multipleItemSelectionAllowed="1" showAll="0"/>
    <pivotField name="Repeat Customers" compact="0" outline="0" multipleItemSelectionAllowed="1" showAll="0"/>
    <pivotField name="Orders Count" compact="0" outline="0" multipleItemSelectionAllowed="1" showAll="0"/>
    <pivotField name="Customer Type" compact="0" outline="0" multipleItemSelectionAllowed="1" showAll="0"/>
  </pivotFields>
  <rowFields count="1">
    <field x="2"/>
  </rowFields>
  <rowItems count="15">
    <i>
      <x/>
    </i>
    <i>
      <x v="1"/>
    </i>
    <i>
      <x v="2"/>
    </i>
    <i>
      <x v="3"/>
    </i>
    <i>
      <x v="4"/>
    </i>
    <i>
      <x v="5"/>
    </i>
    <i>
      <x v="6"/>
    </i>
    <i>
      <x v="7"/>
    </i>
    <i>
      <x v="8"/>
    </i>
    <i>
      <x v="9"/>
    </i>
    <i>
      <x v="10"/>
    </i>
    <i>
      <x v="11"/>
    </i>
    <i>
      <x v="12"/>
    </i>
    <i>
      <x v="13"/>
    </i>
    <i t="grand">
      <x/>
    </i>
  </rowItems>
  <colItems count="1">
    <i/>
  </colItems>
  <dataFields count="1">
    <dataField name="SUM of Purchase Amount" fld="5" baseField="0"/>
  </dataFields>
  <pivotTableStyleInfo showRowHeaders="1" showColHeaders="1" showRowStripes="0" showColStripes="0" showLastColumn="1"/>
</pivotTableDefinition>
</file>

<file path=xl/pivotTables/pivotTable6.xml><?xml version="1.0" encoding="utf-8"?>
<pivotTableDefinition xmlns="http://schemas.openxmlformats.org/spreadsheetml/2006/main" name="Total Revenue" cacheId="11" applyNumberFormats="0" applyBorderFormats="0" applyFontFormats="0" applyPatternFormats="0" applyAlignmentFormats="0" applyWidthHeightFormats="0" dataCaption="" updatedVersion="5" compact="0" compactData="0">
  <location ref="D2:E8" firstHeaderRow="1" firstDataRow="1" firstDataCol="1"/>
  <pivotFields count="2">
    <pivotField name="Product Category" axis="axisRow" compact="0" outline="0" multipleItemSelectionAllowed="1" showAll="0" sortType="ascending">
      <items count="6">
        <item x="0"/>
        <item x="1"/>
        <item x="2"/>
        <item x="4"/>
        <item x="3"/>
        <item t="default"/>
      </items>
    </pivotField>
    <pivotField name="Total Revenue" dataField="1" compact="0" outline="0" multipleItemSelectionAllowed="1" showAll="0"/>
  </pivotFields>
  <rowFields count="1">
    <field x="0"/>
  </rowFields>
  <rowItems count="6">
    <i>
      <x/>
    </i>
    <i>
      <x v="1"/>
    </i>
    <i>
      <x v="2"/>
    </i>
    <i>
      <x v="3"/>
    </i>
    <i>
      <x v="4"/>
    </i>
    <i t="grand">
      <x/>
    </i>
  </rowItems>
  <colItems count="1">
    <i/>
  </colItems>
  <dataFields count="1">
    <dataField name="Total Revenue" fld="1" baseField="0"/>
  </dataFields>
  <pivotTableStyleInfo showRowHeaders="1" showColHeaders="1" showRowStripes="0" showColStripes="0" showLastColumn="1"/>
</pivotTableDefinition>
</file>

<file path=xl/pivotTables/pivotTable7.xml><?xml version="1.0" encoding="utf-8"?>
<pivotTableDefinition xmlns="http://schemas.openxmlformats.org/spreadsheetml/2006/main" name="Top_Customers" cacheId="14" applyNumberFormats="0" applyBorderFormats="0" applyFontFormats="0" applyPatternFormats="0" applyAlignmentFormats="0" applyWidthHeightFormats="0" dataCaption="" updatedVersion="5" compact="0" compactData="0">
  <location ref="A8:B14" firstHeaderRow="1" firstDataRow="1" firstDataCol="1"/>
  <pivotFields count="2">
    <pivotField name="Customer ID" axis="axisRow" compact="0" outline="0" multipleItemSelectionAllowed="1" showAll="0" sortType="ascending">
      <items count="6">
        <item x="4"/>
        <item x="1"/>
        <item x="3"/>
        <item x="0"/>
        <item x="2"/>
        <item t="default"/>
      </items>
    </pivotField>
    <pivotField name="sum Purchase Amount" dataField="1" compact="0" outline="0" multipleItemSelectionAllowed="1" showAll="0"/>
  </pivotFields>
  <rowFields count="1">
    <field x="0"/>
  </rowFields>
  <rowItems count="6">
    <i>
      <x/>
    </i>
    <i>
      <x v="1"/>
    </i>
    <i>
      <x v="2"/>
    </i>
    <i>
      <x v="3"/>
    </i>
    <i>
      <x v="4"/>
    </i>
    <i t="grand">
      <x/>
    </i>
  </rowItems>
  <colItems count="1">
    <i/>
  </colItems>
  <dataFields count="1">
    <dataField name="SUM of sum Purchase Amount" fld="1" baseField="0"/>
  </dataFields>
  <pivotTableStyleInfo showRowHeaders="1" showColHeaders="1" showRowStripes="0" showColStripes="0" showLastColumn="1"/>
</pivotTableDefinition>
</file>

<file path=xl/pivotTables/pivotTable8.xml><?xml version="1.0" encoding="utf-8"?>
<pivotTableDefinition xmlns="http://schemas.openxmlformats.org/spreadsheetml/2006/main" name="Pivot Table 2" cacheId="17" applyNumberFormats="0" applyBorderFormats="0" applyFontFormats="0" applyPatternFormats="0" applyAlignmentFormats="0" applyWidthHeightFormats="0" dataCaption="" updatedVersion="5" compact="0" compactData="0">
  <location ref="A1:A10" firstHeaderRow="1" firstDataRow="1" firstDataCol="1"/>
  <pivotFields count="9">
    <pivotField name="Customer ID" compact="0" outline="0" multipleItemSelectionAllowed="1" showAll="0"/>
    <pivotField name="Purchase Date" compact="0" numFmtId="164" outline="0" multipleItemSelectionAllowed="1" showAll="0"/>
    <pivotField name="Month" compact="0" numFmtId="165" outline="0" multipleItemSelectionAllowed="1" showAll="0"/>
    <pivotField name="Product Category" compact="0" outline="0" multipleItemSelectionAllowed="1" showAll="0"/>
    <pivotField name="Product Name" compact="0" outline="0" multipleItemSelectionAllowed="1" showAll="0"/>
    <pivotField name="Purchase Amount" compact="0" outline="0" multipleItemSelectionAllowed="1" showAll="0"/>
    <pivotField name="Location" axis="axisRow" compact="0" outline="0" multipleItemSelectionAllowed="1" showAll="0" sortType="ascending">
      <items count="9">
        <item x="5"/>
        <item x="4"/>
        <item x="0"/>
        <item x="2"/>
        <item x="6"/>
        <item x="3"/>
        <item x="1"/>
        <item x="7"/>
        <item t="default"/>
      </items>
    </pivotField>
    <pivotField name="Repeat Customers" compact="0" outline="0" multipleItemSelectionAllowed="1" showAll="0"/>
    <pivotField name="Orders Count" compact="0" outline="0" multipleItemSelectionAllowed="1" showAll="0"/>
  </pivotFields>
  <rowFields count="1">
    <field x="6"/>
  </rowFields>
  <rowItems count="9">
    <i>
      <x/>
    </i>
    <i>
      <x v="1"/>
    </i>
    <i>
      <x v="2"/>
    </i>
    <i>
      <x v="3"/>
    </i>
    <i>
      <x v="4"/>
    </i>
    <i>
      <x v="5"/>
    </i>
    <i>
      <x v="6"/>
    </i>
    <i>
      <x v="7"/>
    </i>
    <i t="grand">
      <x/>
    </i>
  </rowItems>
  <colItems count="1">
    <i/>
  </colItem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2" name="PivotTable2"/>
  </pivotTables>
  <data>
    <tabular pivotCacheId="1">
      <items count="14">
        <i x="10" s="1"/>
        <i x="8" s="1"/>
        <i x="0" s="1"/>
        <i x="3" s="1"/>
        <i x="6" s="1"/>
        <i x="2" s="1"/>
        <i x="9" s="1"/>
        <i x="12" s="1"/>
        <i x="5" s="1"/>
        <i x="11" s="1"/>
        <i x="4" s="1"/>
        <i x="1" s="1"/>
        <i x="7" s="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12" name="PivotTable2"/>
  </pivotTables>
  <data>
    <tabular pivotCacheId="1">
      <items count="6">
        <i x="0" s="1"/>
        <i x="1" s="1"/>
        <i x="2" s="1"/>
        <i x="4" s="1"/>
        <i x="3" s="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12" name="PivotTable2"/>
  </pivotTables>
  <data>
    <tabular pivotCacheId="1">
      <items count="8">
        <i x="5" s="1"/>
        <i x="4" s="1"/>
        <i x="0" s="1"/>
        <i x="2" s="1"/>
        <i x="6" s="1"/>
        <i x="3" s="1"/>
        <i x="1"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1" cache="Slicer_Month" caption="Month" rowHeight="225425"/>
  <slicer name="Product Category 1" cache="Slicer_Product_Category" caption="Product Category" rowHeight="225425"/>
  <slicer name="Location 1" cache="Slicer_Location" caption="Location"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0"/>
  <sheetViews>
    <sheetView workbookViewId="0">
      <selection activeCell="B19" sqref="B19"/>
    </sheetView>
  </sheetViews>
  <sheetFormatPr defaultRowHeight="12.75" x14ac:dyDescent="0.2"/>
  <cols>
    <col min="1" max="1" width="24.42578125" customWidth="1"/>
    <col min="2" max="2" width="17" bestFit="1" customWidth="1"/>
    <col min="3" max="3" width="8" bestFit="1" customWidth="1"/>
    <col min="4" max="5" width="8" customWidth="1"/>
    <col min="6" max="8" width="9" bestFit="1" customWidth="1"/>
    <col min="9" max="9" width="8" customWidth="1"/>
    <col min="10" max="14" width="9" bestFit="1" customWidth="1"/>
    <col min="15" max="16" width="11.7109375" bestFit="1" customWidth="1"/>
  </cols>
  <sheetData>
    <row r="3" spans="1:15" x14ac:dyDescent="0.2">
      <c r="A3" s="40" t="s">
        <v>273</v>
      </c>
      <c r="B3" s="40" t="s">
        <v>272</v>
      </c>
    </row>
    <row r="4" spans="1:15" x14ac:dyDescent="0.2">
      <c r="A4" s="40" t="s">
        <v>271</v>
      </c>
      <c r="B4" t="s">
        <v>250</v>
      </c>
      <c r="C4" t="s">
        <v>251</v>
      </c>
      <c r="D4" t="s">
        <v>252</v>
      </c>
      <c r="E4" t="s">
        <v>253</v>
      </c>
      <c r="F4" t="s">
        <v>254</v>
      </c>
      <c r="G4" t="s">
        <v>255</v>
      </c>
      <c r="H4" t="s">
        <v>256</v>
      </c>
      <c r="I4" t="s">
        <v>257</v>
      </c>
      <c r="J4" t="s">
        <v>258</v>
      </c>
      <c r="K4" t="s">
        <v>259</v>
      </c>
      <c r="L4" t="s">
        <v>260</v>
      </c>
      <c r="M4" t="s">
        <v>261</v>
      </c>
      <c r="N4" t="s">
        <v>262</v>
      </c>
      <c r="O4" t="s">
        <v>247</v>
      </c>
    </row>
    <row r="5" spans="1:15" x14ac:dyDescent="0.2">
      <c r="A5" s="41" t="s">
        <v>14</v>
      </c>
      <c r="B5" s="31">
        <v>3431.6800000000003</v>
      </c>
      <c r="C5" s="31">
        <v>383.65</v>
      </c>
      <c r="D5" s="31">
        <v>1953.3300000000002</v>
      </c>
      <c r="E5" s="31">
        <v>1168.3999999999999</v>
      </c>
      <c r="F5" s="31">
        <v>1987.34</v>
      </c>
      <c r="G5" s="31">
        <v>3111.1000000000004</v>
      </c>
      <c r="H5" s="31">
        <v>2934.1499999999996</v>
      </c>
      <c r="I5" s="31">
        <v>2015.88</v>
      </c>
      <c r="J5" s="31">
        <v>3838.54</v>
      </c>
      <c r="K5" s="31">
        <v>2840.1400000000003</v>
      </c>
      <c r="L5" s="31">
        <v>2778.28</v>
      </c>
      <c r="M5" s="31">
        <v>4300.8999999999996</v>
      </c>
      <c r="N5" s="31">
        <v>3030.4500000000007</v>
      </c>
      <c r="O5" s="31">
        <v>33773.839999999997</v>
      </c>
    </row>
    <row r="6" spans="1:15" x14ac:dyDescent="0.2">
      <c r="A6" s="41" t="s">
        <v>18</v>
      </c>
      <c r="B6" s="31">
        <v>2447.73</v>
      </c>
      <c r="C6" s="31">
        <v>509.18999999999994</v>
      </c>
      <c r="D6" s="31">
        <v>2079.96</v>
      </c>
      <c r="E6" s="31">
        <v>4303.47</v>
      </c>
      <c r="F6" s="31">
        <v>2149.46</v>
      </c>
      <c r="G6" s="31">
        <v>2497.9</v>
      </c>
      <c r="H6" s="31">
        <v>3179.13</v>
      </c>
      <c r="I6" s="31">
        <v>2279.4300000000003</v>
      </c>
      <c r="J6" s="31">
        <v>5068.0199999999995</v>
      </c>
      <c r="K6" s="31">
        <v>2478.16</v>
      </c>
      <c r="L6" s="31">
        <v>5646.2199999999993</v>
      </c>
      <c r="M6" s="31">
        <v>1799.69</v>
      </c>
      <c r="N6" s="31">
        <v>3273.57</v>
      </c>
      <c r="O6" s="31">
        <v>37711.93</v>
      </c>
    </row>
    <row r="7" spans="1:15" x14ac:dyDescent="0.2">
      <c r="A7" s="41" t="s">
        <v>28</v>
      </c>
      <c r="B7" s="31">
        <v>3748.18</v>
      </c>
      <c r="C7" s="31">
        <v>1327.08</v>
      </c>
      <c r="D7" s="31">
        <v>395.12</v>
      </c>
      <c r="E7" s="31">
        <v>3165.29</v>
      </c>
      <c r="F7" s="31">
        <v>3420.2599999999998</v>
      </c>
      <c r="G7" s="31">
        <v>2049.7000000000003</v>
      </c>
      <c r="H7" s="31">
        <v>3859.69</v>
      </c>
      <c r="I7" s="31">
        <v>3917.6499999999996</v>
      </c>
      <c r="J7" s="31">
        <v>4069.69</v>
      </c>
      <c r="K7" s="31">
        <v>3710.16</v>
      </c>
      <c r="L7" s="31">
        <v>4160.97</v>
      </c>
      <c r="M7" s="31">
        <v>3822.1100000000006</v>
      </c>
      <c r="N7" s="31">
        <v>2187.1000000000004</v>
      </c>
      <c r="O7" s="31">
        <v>39833</v>
      </c>
    </row>
    <row r="8" spans="1:15" x14ac:dyDescent="0.2">
      <c r="A8" s="41" t="s">
        <v>51</v>
      </c>
      <c r="B8" s="31">
        <v>3924.44</v>
      </c>
      <c r="C8" s="31">
        <v>692.48</v>
      </c>
      <c r="D8" s="31">
        <v>1849.62</v>
      </c>
      <c r="E8" s="31">
        <v>2067.31</v>
      </c>
      <c r="F8" s="31">
        <v>2316.8599999999997</v>
      </c>
      <c r="G8" s="31">
        <v>3089.92</v>
      </c>
      <c r="H8" s="31">
        <v>3040.11</v>
      </c>
      <c r="I8" s="31">
        <v>302.52</v>
      </c>
      <c r="J8" s="31">
        <v>2535.48</v>
      </c>
      <c r="K8" s="31">
        <v>2580.1</v>
      </c>
      <c r="L8" s="31">
        <v>2452.2400000000002</v>
      </c>
      <c r="M8" s="31">
        <v>2681.55</v>
      </c>
      <c r="N8" s="31">
        <v>2618.4599999999996</v>
      </c>
      <c r="O8" s="31">
        <v>30151.089999999997</v>
      </c>
    </row>
    <row r="9" spans="1:15" x14ac:dyDescent="0.2">
      <c r="A9" s="41" t="s">
        <v>35</v>
      </c>
      <c r="B9" s="31">
        <v>3625.47</v>
      </c>
      <c r="C9" s="31">
        <v>820.57999999999993</v>
      </c>
      <c r="D9" s="31">
        <v>2034.94</v>
      </c>
      <c r="E9" s="31">
        <v>2065.33</v>
      </c>
      <c r="F9" s="31">
        <v>2509.9299999999994</v>
      </c>
      <c r="G9" s="31">
        <v>3212.13</v>
      </c>
      <c r="H9" s="31">
        <v>2341.94</v>
      </c>
      <c r="I9" s="31">
        <v>1147.07</v>
      </c>
      <c r="J9" s="31">
        <v>4607.41</v>
      </c>
      <c r="K9" s="31">
        <v>2600.4000000000005</v>
      </c>
      <c r="L9" s="31">
        <v>3356.8</v>
      </c>
      <c r="M9" s="31">
        <v>3142.9900000000002</v>
      </c>
      <c r="N9" s="31">
        <v>3343.09</v>
      </c>
      <c r="O9" s="31">
        <v>34808.080000000002</v>
      </c>
    </row>
    <row r="10" spans="1:15" x14ac:dyDescent="0.2">
      <c r="A10" s="41" t="s">
        <v>247</v>
      </c>
      <c r="B10" s="31">
        <v>17177.5</v>
      </c>
      <c r="C10" s="31">
        <v>3732.98</v>
      </c>
      <c r="D10" s="31">
        <v>8312.9699999999993</v>
      </c>
      <c r="E10" s="31">
        <v>12769.8</v>
      </c>
      <c r="F10" s="31">
        <v>12383.849999999999</v>
      </c>
      <c r="G10" s="31">
        <v>13960.75</v>
      </c>
      <c r="H10" s="31">
        <v>15355.02</v>
      </c>
      <c r="I10" s="31">
        <v>9662.5499999999993</v>
      </c>
      <c r="J10" s="31">
        <v>20119.14</v>
      </c>
      <c r="K10" s="31">
        <v>14208.96</v>
      </c>
      <c r="L10" s="31">
        <v>18394.510000000002</v>
      </c>
      <c r="M10" s="31">
        <v>15747.24</v>
      </c>
      <c r="N10" s="31">
        <v>14452.67</v>
      </c>
      <c r="O10" s="31">
        <v>176277.94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L17" sqref="L17"/>
    </sheetView>
  </sheetViews>
  <sheetFormatPr defaultRowHeight="12.75" x14ac:dyDescent="0.2"/>
  <cols>
    <col min="1" max="1" width="13.85546875" bestFit="1" customWidth="1"/>
    <col min="2" max="2" width="24.42578125" customWidth="1"/>
  </cols>
  <sheetData>
    <row r="3" spans="1:2" x14ac:dyDescent="0.2">
      <c r="A3" s="40" t="s">
        <v>6</v>
      </c>
      <c r="B3" t="s">
        <v>248</v>
      </c>
    </row>
    <row r="4" spans="1:2" x14ac:dyDescent="0.2">
      <c r="A4" s="41" t="s">
        <v>37</v>
      </c>
      <c r="B4" s="31">
        <v>22276.020000000004</v>
      </c>
    </row>
    <row r="5" spans="1:2" x14ac:dyDescent="0.2">
      <c r="A5" s="41" t="s">
        <v>33</v>
      </c>
      <c r="B5" s="31">
        <v>23195.26</v>
      </c>
    </row>
    <row r="6" spans="1:2" x14ac:dyDescent="0.2">
      <c r="A6" s="41" t="s">
        <v>16</v>
      </c>
      <c r="B6" s="31">
        <v>26357.77</v>
      </c>
    </row>
    <row r="7" spans="1:2" x14ac:dyDescent="0.2">
      <c r="A7" s="41" t="s">
        <v>25</v>
      </c>
      <c r="B7" s="31">
        <v>27180.959999999995</v>
      </c>
    </row>
    <row r="8" spans="1:2" x14ac:dyDescent="0.2">
      <c r="A8" s="41" t="s">
        <v>70</v>
      </c>
      <c r="B8" s="31">
        <v>25269.48</v>
      </c>
    </row>
    <row r="9" spans="1:2" x14ac:dyDescent="0.2">
      <c r="A9" s="41" t="s">
        <v>30</v>
      </c>
      <c r="B9" s="31">
        <v>23768.220000000005</v>
      </c>
    </row>
    <row r="10" spans="1:2" x14ac:dyDescent="0.2">
      <c r="A10" s="41" t="s">
        <v>22</v>
      </c>
      <c r="B10" s="31">
        <v>28230.229999999981</v>
      </c>
    </row>
    <row r="11" spans="1:2" x14ac:dyDescent="0.2">
      <c r="A11" s="41" t="s">
        <v>247</v>
      </c>
      <c r="B11" s="31">
        <v>176277.93999999997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701"/>
  <sheetViews>
    <sheetView workbookViewId="0">
      <selection activeCell="D10" sqref="D10"/>
    </sheetView>
  </sheetViews>
  <sheetFormatPr defaultColWidth="12.5703125" defaultRowHeight="15.75" customHeight="1" x14ac:dyDescent="0.2"/>
  <cols>
    <col min="2" max="2" width="19.85546875" customWidth="1"/>
    <col min="4" max="4" width="17" customWidth="1"/>
    <col min="6" max="6" width="17.85546875" customWidth="1"/>
    <col min="8" max="8" width="18" customWidth="1"/>
    <col min="10" max="10" width="18.7109375" customWidth="1"/>
    <col min="11" max="11" width="20.28515625" customWidth="1"/>
    <col min="12" max="12" width="21.7109375" customWidth="1"/>
    <col min="13" max="13" width="18.140625" customWidth="1"/>
  </cols>
  <sheetData>
    <row r="1" spans="1:14" s="44" customFormat="1" ht="15.75" customHeight="1" thickTop="1" x14ac:dyDescent="0.25">
      <c r="A1" s="42" t="s">
        <v>0</v>
      </c>
      <c r="B1" s="43" t="s">
        <v>1</v>
      </c>
      <c r="C1" s="43" t="s">
        <v>2</v>
      </c>
      <c r="D1" s="43" t="s">
        <v>3</v>
      </c>
      <c r="E1" s="43" t="s">
        <v>4</v>
      </c>
      <c r="F1" s="43" t="s">
        <v>5</v>
      </c>
      <c r="G1" s="43" t="s">
        <v>6</v>
      </c>
      <c r="H1" s="43" t="s">
        <v>7</v>
      </c>
      <c r="I1" s="43" t="s">
        <v>8</v>
      </c>
      <c r="J1" s="43" t="s">
        <v>9</v>
      </c>
      <c r="K1" s="43" t="s">
        <v>10</v>
      </c>
      <c r="L1" s="43" t="s">
        <v>11</v>
      </c>
      <c r="M1" s="43" t="s">
        <v>12</v>
      </c>
      <c r="N1" s="43"/>
    </row>
    <row r="2" spans="1:14" ht="15.75" customHeight="1" x14ac:dyDescent="0.25">
      <c r="A2" s="33" t="s">
        <v>13</v>
      </c>
      <c r="B2" s="34">
        <v>46068</v>
      </c>
      <c r="C2" s="35" t="str">
        <f t="shared" ref="C2:C65" si="0">TEXT(B:B, "mm-yyyy")</f>
        <v>02-2026</v>
      </c>
      <c r="D2" s="36" t="s">
        <v>14</v>
      </c>
      <c r="E2" s="36" t="s">
        <v>15</v>
      </c>
      <c r="F2" s="37">
        <v>130.84</v>
      </c>
      <c r="G2" s="36" t="s">
        <v>16</v>
      </c>
      <c r="H2" s="37">
        <f t="shared" ref="H2:H701" si="1">IF(I2&gt;1, 1, 0)</f>
        <v>1</v>
      </c>
      <c r="I2" s="37">
        <f t="shared" ref="I2:I65" si="2">COUNTIF($A:$A, A2)</f>
        <v>3</v>
      </c>
      <c r="J2" s="37" t="str">
        <f>IF(COUNTIF($A$2:A2,A2)=1,"New","Repeat")</f>
        <v>New</v>
      </c>
      <c r="K2" s="37">
        <f ca="1">IFERROR(__xludf.DUMMYFUNCTION("IF(I2=""4+"",
   COUNTUNIQUE(FILTER(A:A, I:I&gt;=4)),
   COUNTUNIQUE(FILTER(A:A, I:I=I2))
)"),42)</f>
        <v>42</v>
      </c>
      <c r="L2" s="37">
        <f>AVERAGE(F:F)</f>
        <v>251.82562857142852</v>
      </c>
      <c r="M2" s="38">
        <f>SUM(H:H)/COUNTA(A:A)</f>
        <v>0.96433666191155487</v>
      </c>
      <c r="N2" s="37"/>
    </row>
    <row r="3" spans="1:14" ht="15.75" customHeight="1" x14ac:dyDescent="0.25">
      <c r="A3" s="33" t="s">
        <v>17</v>
      </c>
      <c r="B3" s="39">
        <v>45988</v>
      </c>
      <c r="C3" s="35" t="str">
        <f t="shared" si="0"/>
        <v>11-2025</v>
      </c>
      <c r="D3" s="36" t="s">
        <v>18</v>
      </c>
      <c r="E3" s="36" t="s">
        <v>19</v>
      </c>
      <c r="F3" s="37">
        <v>11.25</v>
      </c>
      <c r="G3" s="36" t="s">
        <v>16</v>
      </c>
      <c r="H3" s="37">
        <f t="shared" si="1"/>
        <v>1</v>
      </c>
      <c r="I3" s="37">
        <f t="shared" si="2"/>
        <v>2</v>
      </c>
      <c r="J3" s="37" t="str">
        <f>IF(COUNTIF($A$2:A3,A3)=1,"New","Repeat")</f>
        <v>New</v>
      </c>
      <c r="K3" s="37">
        <f ca="1">IFERROR(__xludf.DUMMYFUNCTION("IF(I3=""4+"",
   COUNTUNIQUE(FILTER(A:A, I:I&gt;=4)),
   COUNTUNIQUE(FILTER(A:A, I:I=I3))
)"),37)</f>
        <v>37</v>
      </c>
      <c r="L3" s="36"/>
      <c r="M3" s="36"/>
      <c r="N3" s="37"/>
    </row>
    <row r="4" spans="1:14" ht="15.75" customHeight="1" x14ac:dyDescent="0.25">
      <c r="A4" s="33" t="s">
        <v>20</v>
      </c>
      <c r="B4" s="34">
        <v>45794</v>
      </c>
      <c r="C4" s="35" t="str">
        <f t="shared" si="0"/>
        <v>05-2025</v>
      </c>
      <c r="D4" s="36" t="s">
        <v>18</v>
      </c>
      <c r="E4" s="36" t="s">
        <v>21</v>
      </c>
      <c r="F4" s="37">
        <v>60.34</v>
      </c>
      <c r="G4" s="36" t="s">
        <v>22</v>
      </c>
      <c r="H4" s="37">
        <f t="shared" si="1"/>
        <v>1</v>
      </c>
      <c r="I4" s="37">
        <f t="shared" si="2"/>
        <v>5</v>
      </c>
      <c r="J4" s="37" t="str">
        <f>IF(COUNTIF($A$2:A4,A4)=1,"New","Repeat")</f>
        <v>New</v>
      </c>
      <c r="K4" s="37">
        <f ca="1">IFERROR(__xludf.DUMMYFUNCTION("IF(I4=""4+"",
   COUNTUNIQUE(FILTER(A:A, I:I&gt;=4)),
   COUNTUNIQUE(FILTER(A:A, I:I=I4))
)"),34)</f>
        <v>34</v>
      </c>
      <c r="L4" s="36"/>
      <c r="M4" s="36"/>
      <c r="N4" s="36"/>
    </row>
    <row r="5" spans="1:14" ht="15.75" customHeight="1" x14ac:dyDescent="0.25">
      <c r="A5" s="33" t="s">
        <v>23</v>
      </c>
      <c r="B5" s="34">
        <v>45745</v>
      </c>
      <c r="C5" s="35" t="str">
        <f t="shared" si="0"/>
        <v>03-2025</v>
      </c>
      <c r="D5" s="36" t="s">
        <v>18</v>
      </c>
      <c r="E5" s="36" t="s">
        <v>24</v>
      </c>
      <c r="F5" s="37">
        <v>455.49</v>
      </c>
      <c r="G5" s="36" t="s">
        <v>25</v>
      </c>
      <c r="H5" s="37">
        <f t="shared" si="1"/>
        <v>0</v>
      </c>
      <c r="I5" s="37">
        <f t="shared" si="2"/>
        <v>1</v>
      </c>
      <c r="J5" s="37" t="str">
        <f>IF(COUNTIF($A$2:A5,A5)=1,"New","Repeat")</f>
        <v>New</v>
      </c>
      <c r="K5" s="37">
        <f ca="1">IFERROR(__xludf.DUMMYFUNCTION("IF(I5=""4+"",
   COUNTUNIQUE(FILTER(A:A, I:I&gt;=4)),
   COUNTUNIQUE(FILTER(A:A, I:I=I5))
)"),24)</f>
        <v>24</v>
      </c>
      <c r="L5" s="36"/>
      <c r="M5" s="36"/>
      <c r="N5" s="36"/>
    </row>
    <row r="6" spans="1:14" ht="15.75" customHeight="1" x14ac:dyDescent="0.25">
      <c r="A6" s="33" t="s">
        <v>26</v>
      </c>
      <c r="B6" s="34">
        <v>45939</v>
      </c>
      <c r="C6" s="35" t="str">
        <f t="shared" si="0"/>
        <v>10-2025</v>
      </c>
      <c r="D6" s="36" t="s">
        <v>18</v>
      </c>
      <c r="E6" s="36" t="s">
        <v>21</v>
      </c>
      <c r="F6" s="37">
        <v>199.87</v>
      </c>
      <c r="G6" s="36" t="s">
        <v>25</v>
      </c>
      <c r="H6" s="37">
        <f t="shared" si="1"/>
        <v>1</v>
      </c>
      <c r="I6" s="37">
        <f t="shared" si="2"/>
        <v>9</v>
      </c>
      <c r="J6" s="37" t="str">
        <f>IF(COUNTIF($A$2:A6,A6)=1,"New","Repeat")</f>
        <v>New</v>
      </c>
      <c r="K6" s="37">
        <f ca="1">IFERROR(__xludf.DUMMYFUNCTION("IF(I6=""4+"",
   COUNTUNIQUE(FILTER(A:A, I:I&gt;=4)),
   COUNTUNIQUE(FILTER(A:A, I:I=I6))
)"),2)</f>
        <v>2</v>
      </c>
      <c r="L6" s="36"/>
      <c r="M6" s="36"/>
      <c r="N6" s="36"/>
    </row>
    <row r="7" spans="1:14" ht="15.75" customHeight="1" x14ac:dyDescent="0.25">
      <c r="A7" s="33" t="s">
        <v>27</v>
      </c>
      <c r="B7" s="34">
        <v>45932</v>
      </c>
      <c r="C7" s="35" t="str">
        <f t="shared" si="0"/>
        <v>10-2025</v>
      </c>
      <c r="D7" s="36" t="s">
        <v>28</v>
      </c>
      <c r="E7" s="36" t="s">
        <v>29</v>
      </c>
      <c r="F7" s="37">
        <v>217.11</v>
      </c>
      <c r="G7" s="36" t="s">
        <v>30</v>
      </c>
      <c r="H7" s="37">
        <f t="shared" si="1"/>
        <v>1</v>
      </c>
      <c r="I7" s="37">
        <f t="shared" si="2"/>
        <v>3</v>
      </c>
      <c r="J7" s="37" t="str">
        <f>IF(COUNTIF($A$2:A7,A7)=1,"New","Repeat")</f>
        <v>New</v>
      </c>
      <c r="K7" s="37">
        <f ca="1">IFERROR(__xludf.DUMMYFUNCTION("IF(I7=""4+"",
   COUNTUNIQUE(FILTER(A:A, I:I&gt;=4)),
   COUNTUNIQUE(FILTER(A:A, I:I=I7))
)"),42)</f>
        <v>42</v>
      </c>
      <c r="L7" s="36"/>
      <c r="M7" s="36"/>
      <c r="N7" s="36"/>
    </row>
    <row r="8" spans="1:14" ht="15.75" customHeight="1" x14ac:dyDescent="0.25">
      <c r="A8" s="33" t="s">
        <v>26</v>
      </c>
      <c r="B8" s="39">
        <v>45956</v>
      </c>
      <c r="C8" s="35" t="str">
        <f t="shared" si="0"/>
        <v>10-2025</v>
      </c>
      <c r="D8" s="36" t="s">
        <v>18</v>
      </c>
      <c r="E8" s="36" t="s">
        <v>24</v>
      </c>
      <c r="F8" s="37">
        <v>49.89</v>
      </c>
      <c r="G8" s="36" t="s">
        <v>30</v>
      </c>
      <c r="H8" s="37">
        <f t="shared" si="1"/>
        <v>1</v>
      </c>
      <c r="I8" s="37">
        <f t="shared" si="2"/>
        <v>9</v>
      </c>
      <c r="J8" s="37" t="str">
        <f>IF(COUNTIF($A$2:A8,A8)=1,"New","Repeat")</f>
        <v>Repeat</v>
      </c>
      <c r="K8" s="37">
        <f ca="1">IFERROR(__xludf.DUMMYFUNCTION("IF(I8=""4+"",
   COUNTUNIQUE(FILTER(A:A, I:I&gt;=4)),
   COUNTUNIQUE(FILTER(A:A, I:I=I8))
)"),2)</f>
        <v>2</v>
      </c>
      <c r="L8" s="36"/>
      <c r="M8" s="36"/>
      <c r="N8" s="36"/>
    </row>
    <row r="9" spans="1:14" ht="15.75" customHeight="1" x14ac:dyDescent="0.25">
      <c r="A9" s="33" t="s">
        <v>31</v>
      </c>
      <c r="B9" s="34">
        <v>45937</v>
      </c>
      <c r="C9" s="35" t="str">
        <f t="shared" si="0"/>
        <v>10-2025</v>
      </c>
      <c r="D9" s="36" t="s">
        <v>14</v>
      </c>
      <c r="E9" s="36" t="s">
        <v>32</v>
      </c>
      <c r="F9" s="37">
        <v>225.76</v>
      </c>
      <c r="G9" s="36" t="s">
        <v>33</v>
      </c>
      <c r="H9" s="37">
        <f t="shared" si="1"/>
        <v>1</v>
      </c>
      <c r="I9" s="37">
        <f t="shared" si="2"/>
        <v>5</v>
      </c>
      <c r="J9" s="37" t="str">
        <f>IF(COUNTIF($A$2:A9,A9)=1,"New","Repeat")</f>
        <v>New</v>
      </c>
      <c r="K9" s="37">
        <f ca="1">IFERROR(__xludf.DUMMYFUNCTION("IF(I9=""4+"",
   COUNTUNIQUE(FILTER(A:A, I:I&gt;=4)),
   COUNTUNIQUE(FILTER(A:A, I:I=I9))
)"),34)</f>
        <v>34</v>
      </c>
      <c r="L9" s="36"/>
      <c r="M9" s="36"/>
      <c r="N9" s="36"/>
    </row>
    <row r="10" spans="1:14" ht="15.75" customHeight="1" x14ac:dyDescent="0.25">
      <c r="A10" s="33" t="s">
        <v>34</v>
      </c>
      <c r="B10" s="34">
        <v>45873</v>
      </c>
      <c r="C10" s="35" t="str">
        <f t="shared" si="0"/>
        <v>08-2025</v>
      </c>
      <c r="D10" s="36" t="s">
        <v>35</v>
      </c>
      <c r="E10" s="36" t="s">
        <v>36</v>
      </c>
      <c r="F10" s="37">
        <v>332.71</v>
      </c>
      <c r="G10" s="36" t="s">
        <v>37</v>
      </c>
      <c r="H10" s="37">
        <f t="shared" si="1"/>
        <v>0</v>
      </c>
      <c r="I10" s="37">
        <f t="shared" si="2"/>
        <v>1</v>
      </c>
      <c r="J10" s="37" t="str">
        <f>IF(COUNTIF($A$2:A10,A10)=1,"New","Repeat")</f>
        <v>New</v>
      </c>
      <c r="K10" s="37">
        <f ca="1">IFERROR(__xludf.DUMMYFUNCTION("IF(I10=""4+"",
   COUNTUNIQUE(FILTER(A:A, I:I&gt;=4)),
   COUNTUNIQUE(FILTER(A:A, I:I=I10))
)"),24)</f>
        <v>24</v>
      </c>
      <c r="L10" s="36"/>
      <c r="M10" s="36"/>
      <c r="N10" s="36"/>
    </row>
    <row r="11" spans="1:14" ht="15.75" customHeight="1" x14ac:dyDescent="0.25">
      <c r="A11" s="33" t="s">
        <v>38</v>
      </c>
      <c r="B11" s="34">
        <v>45759</v>
      </c>
      <c r="C11" s="35" t="str">
        <f t="shared" si="0"/>
        <v>04-2025</v>
      </c>
      <c r="D11" s="36" t="s">
        <v>35</v>
      </c>
      <c r="E11" s="36" t="s">
        <v>39</v>
      </c>
      <c r="F11" s="37">
        <v>88.7</v>
      </c>
      <c r="G11" s="36" t="s">
        <v>22</v>
      </c>
      <c r="H11" s="37">
        <f t="shared" si="1"/>
        <v>1</v>
      </c>
      <c r="I11" s="37">
        <f t="shared" si="2"/>
        <v>3</v>
      </c>
      <c r="J11" s="37" t="str">
        <f>IF(COUNTIF($A$2:A11,A11)=1,"New","Repeat")</f>
        <v>New</v>
      </c>
      <c r="K11" s="37">
        <f ca="1">IFERROR(__xludf.DUMMYFUNCTION("IF(I11=""4+"",
   COUNTUNIQUE(FILTER(A:A, I:I&gt;=4)),
   COUNTUNIQUE(FILTER(A:A, I:I=I11))
)"),42)</f>
        <v>42</v>
      </c>
      <c r="L11" s="36"/>
      <c r="M11" s="36"/>
      <c r="N11" s="36"/>
    </row>
    <row r="12" spans="1:14" ht="15.75" customHeight="1" x14ac:dyDescent="0.25">
      <c r="A12" s="33" t="s">
        <v>40</v>
      </c>
      <c r="B12" s="39">
        <v>46020</v>
      </c>
      <c r="C12" s="35" t="str">
        <f t="shared" si="0"/>
        <v>12-2025</v>
      </c>
      <c r="D12" s="36" t="s">
        <v>14</v>
      </c>
      <c r="E12" s="36" t="s">
        <v>41</v>
      </c>
      <c r="F12" s="37">
        <v>62.24</v>
      </c>
      <c r="G12" s="36" t="s">
        <v>25</v>
      </c>
      <c r="H12" s="37">
        <f t="shared" si="1"/>
        <v>1</v>
      </c>
      <c r="I12" s="37">
        <f t="shared" si="2"/>
        <v>5</v>
      </c>
      <c r="J12" s="37" t="str">
        <f>IF(COUNTIF($A$2:A12,A12)=1,"New","Repeat")</f>
        <v>New</v>
      </c>
      <c r="K12" s="37">
        <f ca="1">IFERROR(__xludf.DUMMYFUNCTION("IF(I12=""4+"",
   COUNTUNIQUE(FILTER(A:A, I:I&gt;=4)),
   COUNTUNIQUE(FILTER(A:A, I:I=I12))
)"),34)</f>
        <v>34</v>
      </c>
      <c r="L12" s="36"/>
      <c r="M12" s="36"/>
      <c r="N12" s="36"/>
    </row>
    <row r="13" spans="1:14" ht="15.75" customHeight="1" x14ac:dyDescent="0.25">
      <c r="A13" s="33" t="s">
        <v>42</v>
      </c>
      <c r="B13" s="34">
        <v>45711</v>
      </c>
      <c r="C13" s="35" t="str">
        <f t="shared" si="0"/>
        <v>02-2025</v>
      </c>
      <c r="D13" s="36" t="s">
        <v>28</v>
      </c>
      <c r="E13" s="36" t="s">
        <v>43</v>
      </c>
      <c r="F13" s="37">
        <v>493.22</v>
      </c>
      <c r="G13" s="36" t="s">
        <v>16</v>
      </c>
      <c r="H13" s="37">
        <f t="shared" si="1"/>
        <v>1</v>
      </c>
      <c r="I13" s="37">
        <f t="shared" si="2"/>
        <v>4</v>
      </c>
      <c r="J13" s="37" t="str">
        <f>IF(COUNTIF($A$2:A13,A13)=1,"New","Repeat")</f>
        <v>New</v>
      </c>
      <c r="K13" s="37">
        <f ca="1">IFERROR(__xludf.DUMMYFUNCTION("IF(I13=""4+"",
   COUNTUNIQUE(FILTER(A:A, I:I&gt;=4)),
   COUNTUNIQUE(FILTER(A:A, I:I=I13))
)"),32)</f>
        <v>32</v>
      </c>
      <c r="L13" s="36"/>
      <c r="M13" s="36"/>
      <c r="N13" s="36"/>
    </row>
    <row r="14" spans="1:14" ht="15.75" customHeight="1" x14ac:dyDescent="0.25">
      <c r="A14" s="33" t="s">
        <v>44</v>
      </c>
      <c r="B14" s="34">
        <v>46068</v>
      </c>
      <c r="C14" s="35" t="str">
        <f t="shared" si="0"/>
        <v>02-2026</v>
      </c>
      <c r="D14" s="36" t="s">
        <v>28</v>
      </c>
      <c r="E14" s="36" t="s">
        <v>45</v>
      </c>
      <c r="F14" s="37">
        <v>104.02</v>
      </c>
      <c r="G14" s="36" t="s">
        <v>30</v>
      </c>
      <c r="H14" s="37">
        <f t="shared" si="1"/>
        <v>1</v>
      </c>
      <c r="I14" s="37">
        <f t="shared" si="2"/>
        <v>5</v>
      </c>
      <c r="J14" s="37" t="str">
        <f>IF(COUNTIF($A$2:A14,A14)=1,"New","Repeat")</f>
        <v>New</v>
      </c>
      <c r="K14" s="37">
        <f ca="1">IFERROR(__xludf.DUMMYFUNCTION("IF(I14=""4+"",
   COUNTUNIQUE(FILTER(A:A, I:I&gt;=4)),
   COUNTUNIQUE(FILTER(A:A, I:I=I14))
)"),34)</f>
        <v>34</v>
      </c>
      <c r="L14" s="36"/>
      <c r="M14" s="36"/>
      <c r="N14" s="36"/>
    </row>
    <row r="15" spans="1:14" ht="15.75" customHeight="1" x14ac:dyDescent="0.25">
      <c r="A15" s="33" t="s">
        <v>46</v>
      </c>
      <c r="B15" s="34">
        <v>45833</v>
      </c>
      <c r="C15" s="35" t="str">
        <f t="shared" si="0"/>
        <v>06-2025</v>
      </c>
      <c r="D15" s="36" t="s">
        <v>18</v>
      </c>
      <c r="E15" s="36" t="s">
        <v>47</v>
      </c>
      <c r="F15" s="37">
        <v>66.290000000000006</v>
      </c>
      <c r="G15" s="36" t="s">
        <v>33</v>
      </c>
      <c r="H15" s="37">
        <f t="shared" si="1"/>
        <v>1</v>
      </c>
      <c r="I15" s="37">
        <f t="shared" si="2"/>
        <v>4</v>
      </c>
      <c r="J15" s="37" t="str">
        <f>IF(COUNTIF($A$2:A15,A15)=1,"New","Repeat")</f>
        <v>New</v>
      </c>
      <c r="K15" s="37">
        <f ca="1">IFERROR(__xludf.DUMMYFUNCTION("IF(I15=""4+"",
   COUNTUNIQUE(FILTER(A:A, I:I&gt;=4)),
   COUNTUNIQUE(FILTER(A:A, I:I=I15))
)"),32)</f>
        <v>32</v>
      </c>
      <c r="L15" s="36"/>
      <c r="M15" s="36"/>
      <c r="N15" s="36"/>
    </row>
    <row r="16" spans="1:14" ht="15.75" customHeight="1" x14ac:dyDescent="0.25">
      <c r="A16" s="33" t="s">
        <v>48</v>
      </c>
      <c r="B16" s="34">
        <v>45873</v>
      </c>
      <c r="C16" s="35" t="str">
        <f t="shared" si="0"/>
        <v>08-2025</v>
      </c>
      <c r="D16" s="36" t="s">
        <v>35</v>
      </c>
      <c r="E16" s="36" t="s">
        <v>36</v>
      </c>
      <c r="F16" s="37">
        <v>478.65</v>
      </c>
      <c r="G16" s="36" t="s">
        <v>22</v>
      </c>
      <c r="H16" s="37">
        <f t="shared" si="1"/>
        <v>0</v>
      </c>
      <c r="I16" s="37">
        <f t="shared" si="2"/>
        <v>1</v>
      </c>
      <c r="J16" s="37" t="str">
        <f>IF(COUNTIF($A$2:A16,A16)=1,"New","Repeat")</f>
        <v>New</v>
      </c>
      <c r="K16" s="37">
        <f ca="1">IFERROR(__xludf.DUMMYFUNCTION("IF(I16=""4+"",
   COUNTUNIQUE(FILTER(A:A, I:I&gt;=4)),
   COUNTUNIQUE(FILTER(A:A, I:I=I16))
)"),24)</f>
        <v>24</v>
      </c>
      <c r="L16" s="36"/>
      <c r="M16" s="36"/>
      <c r="N16" s="36"/>
    </row>
    <row r="17" spans="1:14" ht="15.75" customHeight="1" x14ac:dyDescent="0.25">
      <c r="A17" s="33" t="s">
        <v>49</v>
      </c>
      <c r="B17" s="34">
        <v>45795</v>
      </c>
      <c r="C17" s="35" t="str">
        <f t="shared" si="0"/>
        <v>05-2025</v>
      </c>
      <c r="D17" s="36" t="s">
        <v>14</v>
      </c>
      <c r="E17" s="36" t="s">
        <v>41</v>
      </c>
      <c r="F17" s="37">
        <v>326.18</v>
      </c>
      <c r="G17" s="36" t="s">
        <v>16</v>
      </c>
      <c r="H17" s="37">
        <f t="shared" si="1"/>
        <v>1</v>
      </c>
      <c r="I17" s="37">
        <f t="shared" si="2"/>
        <v>4</v>
      </c>
      <c r="J17" s="37" t="str">
        <f>IF(COUNTIF($A$2:A17,A17)=1,"New","Repeat")</f>
        <v>New</v>
      </c>
      <c r="K17" s="37">
        <f ca="1">IFERROR(__xludf.DUMMYFUNCTION("IF(I17=""4+"",
   COUNTUNIQUE(FILTER(A:A, I:I&gt;=4)),
   COUNTUNIQUE(FILTER(A:A, I:I=I17))
)"),32)</f>
        <v>32</v>
      </c>
      <c r="L17" s="36"/>
      <c r="M17" s="36"/>
      <c r="N17" s="36"/>
    </row>
    <row r="18" spans="1:14" ht="15.75" customHeight="1" x14ac:dyDescent="0.25">
      <c r="A18" s="33" t="s">
        <v>50</v>
      </c>
      <c r="B18" s="34">
        <v>45740</v>
      </c>
      <c r="C18" s="35" t="str">
        <f t="shared" si="0"/>
        <v>03-2025</v>
      </c>
      <c r="D18" s="36" t="s">
        <v>51</v>
      </c>
      <c r="E18" s="36" t="s">
        <v>52</v>
      </c>
      <c r="F18" s="37">
        <v>432.34</v>
      </c>
      <c r="G18" s="36" t="s">
        <v>30</v>
      </c>
      <c r="H18" s="37">
        <f t="shared" si="1"/>
        <v>1</v>
      </c>
      <c r="I18" s="37">
        <f t="shared" si="2"/>
        <v>8</v>
      </c>
      <c r="J18" s="37" t="str">
        <f>IF(COUNTIF($A$2:A18,A18)=1,"New","Repeat")</f>
        <v>New</v>
      </c>
      <c r="K18" s="37">
        <f ca="1">IFERROR(__xludf.DUMMYFUNCTION("IF(I18=""4+"",
   COUNTUNIQUE(FILTER(A:A, I:I&gt;=4)),
   COUNTUNIQUE(FILTER(A:A, I:I=I18))
)"),1)</f>
        <v>1</v>
      </c>
      <c r="L18" s="36"/>
      <c r="M18" s="36"/>
      <c r="N18" s="36"/>
    </row>
    <row r="19" spans="1:14" ht="15.75" customHeight="1" x14ac:dyDescent="0.25">
      <c r="A19" s="33" t="s">
        <v>53</v>
      </c>
      <c r="B19" s="34">
        <v>45779</v>
      </c>
      <c r="C19" s="35" t="str">
        <f t="shared" si="0"/>
        <v>05-2025</v>
      </c>
      <c r="D19" s="36" t="s">
        <v>35</v>
      </c>
      <c r="E19" s="36" t="s">
        <v>54</v>
      </c>
      <c r="F19" s="37">
        <v>108.15</v>
      </c>
      <c r="G19" s="36" t="s">
        <v>33</v>
      </c>
      <c r="H19" s="37">
        <f t="shared" si="1"/>
        <v>1</v>
      </c>
      <c r="I19" s="37">
        <f t="shared" si="2"/>
        <v>3</v>
      </c>
      <c r="J19" s="37" t="str">
        <f>IF(COUNTIF($A$2:A19,A19)=1,"New","Repeat")</f>
        <v>New</v>
      </c>
      <c r="K19" s="37">
        <f ca="1">IFERROR(__xludf.DUMMYFUNCTION("IF(I19=""4+"",
   COUNTUNIQUE(FILTER(A:A, I:I&gt;=4)),
   COUNTUNIQUE(FILTER(A:A, I:I=I19))
)"),42)</f>
        <v>42</v>
      </c>
      <c r="L19" s="36"/>
      <c r="M19" s="36"/>
      <c r="N19" s="36"/>
    </row>
    <row r="20" spans="1:14" ht="15.75" customHeight="1" x14ac:dyDescent="0.25">
      <c r="A20" s="33" t="s">
        <v>55</v>
      </c>
      <c r="B20" s="34">
        <v>45770</v>
      </c>
      <c r="C20" s="35" t="str">
        <f t="shared" si="0"/>
        <v>04-2025</v>
      </c>
      <c r="D20" s="36" t="s">
        <v>28</v>
      </c>
      <c r="E20" s="36" t="s">
        <v>43</v>
      </c>
      <c r="F20" s="37">
        <v>267.75</v>
      </c>
      <c r="G20" s="36" t="s">
        <v>16</v>
      </c>
      <c r="H20" s="37">
        <f t="shared" si="1"/>
        <v>1</v>
      </c>
      <c r="I20" s="37">
        <f t="shared" si="2"/>
        <v>5</v>
      </c>
      <c r="J20" s="37" t="str">
        <f>IF(COUNTIF($A$2:A20,A20)=1,"New","Repeat")</f>
        <v>New</v>
      </c>
      <c r="K20" s="37">
        <f ca="1">IFERROR(__xludf.DUMMYFUNCTION("IF(I20=""4+"",
   COUNTUNIQUE(FILTER(A:A, I:I&gt;=4)),
   COUNTUNIQUE(FILTER(A:A, I:I=I20))
)"),34)</f>
        <v>34</v>
      </c>
      <c r="L20" s="36"/>
      <c r="M20" s="36"/>
      <c r="N20" s="36"/>
    </row>
    <row r="21" spans="1:14" ht="15.75" customHeight="1" x14ac:dyDescent="0.25">
      <c r="A21" s="33" t="s">
        <v>56</v>
      </c>
      <c r="B21" s="34">
        <v>45891</v>
      </c>
      <c r="C21" s="35" t="str">
        <f t="shared" si="0"/>
        <v>08-2025</v>
      </c>
      <c r="D21" s="36" t="s">
        <v>28</v>
      </c>
      <c r="E21" s="36" t="s">
        <v>29</v>
      </c>
      <c r="F21" s="37">
        <v>117.93</v>
      </c>
      <c r="G21" s="36" t="s">
        <v>16</v>
      </c>
      <c r="H21" s="37">
        <f t="shared" si="1"/>
        <v>1</v>
      </c>
      <c r="I21" s="37">
        <f t="shared" si="2"/>
        <v>4</v>
      </c>
      <c r="J21" s="37" t="str">
        <f>IF(COUNTIF($A$2:A21,A21)=1,"New","Repeat")</f>
        <v>New</v>
      </c>
      <c r="K21" s="37">
        <f ca="1">IFERROR(__xludf.DUMMYFUNCTION("IF(I21=""4+"",
   COUNTUNIQUE(FILTER(A:A, I:I&gt;=4)),
   COUNTUNIQUE(FILTER(A:A, I:I=I21))
)"),32)</f>
        <v>32</v>
      </c>
      <c r="L21" s="36"/>
      <c r="M21" s="36"/>
      <c r="N21" s="36"/>
    </row>
    <row r="22" spans="1:14" ht="15.75" customHeight="1" x14ac:dyDescent="0.25">
      <c r="A22" s="33" t="s">
        <v>57</v>
      </c>
      <c r="B22" s="34">
        <v>45740</v>
      </c>
      <c r="C22" s="35" t="str">
        <f t="shared" si="0"/>
        <v>03-2025</v>
      </c>
      <c r="D22" s="36" t="s">
        <v>35</v>
      </c>
      <c r="E22" s="36" t="s">
        <v>58</v>
      </c>
      <c r="F22" s="37">
        <v>288.33999999999997</v>
      </c>
      <c r="G22" s="36" t="s">
        <v>37</v>
      </c>
      <c r="H22" s="37">
        <f t="shared" si="1"/>
        <v>1</v>
      </c>
      <c r="I22" s="37">
        <f t="shared" si="2"/>
        <v>3</v>
      </c>
      <c r="J22" s="37" t="str">
        <f>IF(COUNTIF($A$2:A22,A22)=1,"New","Repeat")</f>
        <v>New</v>
      </c>
      <c r="K22" s="37">
        <f ca="1">IFERROR(__xludf.DUMMYFUNCTION("IF(I22=""4+"",
   COUNTUNIQUE(FILTER(A:A, I:I&gt;=4)),
   COUNTUNIQUE(FILTER(A:A, I:I=I22))
)"),42)</f>
        <v>42</v>
      </c>
      <c r="L22" s="36"/>
      <c r="M22" s="36"/>
      <c r="N22" s="36"/>
    </row>
    <row r="23" spans="1:14" ht="15" x14ac:dyDescent="0.25">
      <c r="A23" s="33" t="s">
        <v>50</v>
      </c>
      <c r="B23" s="34">
        <v>45937</v>
      </c>
      <c r="C23" s="35" t="str">
        <f t="shared" si="0"/>
        <v>10-2025</v>
      </c>
      <c r="D23" s="36" t="s">
        <v>14</v>
      </c>
      <c r="E23" s="36" t="s">
        <v>59</v>
      </c>
      <c r="F23" s="37">
        <v>146.52000000000001</v>
      </c>
      <c r="G23" s="36" t="s">
        <v>25</v>
      </c>
      <c r="H23" s="37">
        <f t="shared" si="1"/>
        <v>1</v>
      </c>
      <c r="I23" s="37">
        <f t="shared" si="2"/>
        <v>8</v>
      </c>
      <c r="J23" s="37" t="str">
        <f>IF(COUNTIF($A$2:A23,A23)=1,"New","Repeat")</f>
        <v>Repeat</v>
      </c>
      <c r="K23" s="37">
        <f ca="1">IFERROR(__xludf.DUMMYFUNCTION("IF(I23=""4+"",
   COUNTUNIQUE(FILTER(A:A, I:I&gt;=4)),
   COUNTUNIQUE(FILTER(A:A, I:I=I23))
)"),1)</f>
        <v>1</v>
      </c>
      <c r="L23" s="36"/>
      <c r="M23" s="36"/>
      <c r="N23" s="36"/>
    </row>
    <row r="24" spans="1:14" ht="15" x14ac:dyDescent="0.25">
      <c r="A24" s="33" t="s">
        <v>60</v>
      </c>
      <c r="B24" s="34">
        <v>45789</v>
      </c>
      <c r="C24" s="35" t="str">
        <f t="shared" si="0"/>
        <v>05-2025</v>
      </c>
      <c r="D24" s="36" t="s">
        <v>35</v>
      </c>
      <c r="E24" s="36" t="s">
        <v>58</v>
      </c>
      <c r="F24" s="37">
        <v>80.819999999999993</v>
      </c>
      <c r="G24" s="36" t="s">
        <v>25</v>
      </c>
      <c r="H24" s="37">
        <f t="shared" si="1"/>
        <v>1</v>
      </c>
      <c r="I24" s="37">
        <f t="shared" si="2"/>
        <v>2</v>
      </c>
      <c r="J24" s="37" t="str">
        <f>IF(COUNTIF($A$2:A24,A24)=1,"New","Repeat")</f>
        <v>New</v>
      </c>
      <c r="K24" s="37">
        <f ca="1">IFERROR(__xludf.DUMMYFUNCTION("IF(I24=""4+"",
   COUNTUNIQUE(FILTER(A:A, I:I&gt;=4)),
   COUNTUNIQUE(FILTER(A:A, I:I=I24))
)"),37)</f>
        <v>37</v>
      </c>
      <c r="L24" s="36"/>
      <c r="M24" s="36"/>
      <c r="N24" s="36"/>
    </row>
    <row r="25" spans="1:14" ht="15" x14ac:dyDescent="0.25">
      <c r="A25" s="33" t="s">
        <v>61</v>
      </c>
      <c r="B25" s="34">
        <v>45774</v>
      </c>
      <c r="C25" s="35" t="str">
        <f t="shared" si="0"/>
        <v>04-2025</v>
      </c>
      <c r="D25" s="36" t="s">
        <v>18</v>
      </c>
      <c r="E25" s="36" t="s">
        <v>21</v>
      </c>
      <c r="F25" s="37">
        <v>406.37</v>
      </c>
      <c r="G25" s="36" t="s">
        <v>37</v>
      </c>
      <c r="H25" s="37">
        <f t="shared" si="1"/>
        <v>1</v>
      </c>
      <c r="I25" s="37">
        <f t="shared" si="2"/>
        <v>6</v>
      </c>
      <c r="J25" s="37" t="str">
        <f>IF(COUNTIF($A$2:A25,A25)=1,"New","Repeat")</f>
        <v>New</v>
      </c>
      <c r="K25" s="37">
        <f ca="1">IFERROR(__xludf.DUMMYFUNCTION("IF(I25=""4+"",
   COUNTUNIQUE(FILTER(A:A, I:I&gt;=4)),
   COUNTUNIQUE(FILTER(A:A, I:I=I25))
)"),19)</f>
        <v>19</v>
      </c>
      <c r="L25" s="36"/>
      <c r="M25" s="36"/>
      <c r="N25" s="36"/>
    </row>
    <row r="26" spans="1:14" ht="15" x14ac:dyDescent="0.25">
      <c r="A26" s="33" t="s">
        <v>62</v>
      </c>
      <c r="B26" s="34">
        <v>46051</v>
      </c>
      <c r="C26" s="35" t="str">
        <f t="shared" si="0"/>
        <v>01-2026</v>
      </c>
      <c r="D26" s="36" t="s">
        <v>28</v>
      </c>
      <c r="E26" s="36" t="s">
        <v>29</v>
      </c>
      <c r="F26" s="37">
        <v>410.52</v>
      </c>
      <c r="G26" s="36" t="s">
        <v>16</v>
      </c>
      <c r="H26" s="37">
        <f t="shared" si="1"/>
        <v>1</v>
      </c>
      <c r="I26" s="37">
        <f t="shared" si="2"/>
        <v>4</v>
      </c>
      <c r="J26" s="37" t="str">
        <f>IF(COUNTIF($A$2:A26,A26)=1,"New","Repeat")</f>
        <v>New</v>
      </c>
      <c r="K26" s="37">
        <f ca="1">IFERROR(__xludf.DUMMYFUNCTION("IF(I26=""4+"",
   COUNTUNIQUE(FILTER(A:A, I:I&gt;=4)),
   COUNTUNIQUE(FILTER(A:A, I:I=I26))
)"),32)</f>
        <v>32</v>
      </c>
      <c r="L26" s="36"/>
      <c r="M26" s="36"/>
      <c r="N26" s="36"/>
    </row>
    <row r="27" spans="1:14" ht="15" x14ac:dyDescent="0.25">
      <c r="A27" s="33" t="s">
        <v>63</v>
      </c>
      <c r="B27" s="39">
        <v>45959</v>
      </c>
      <c r="C27" s="35" t="str">
        <f t="shared" si="0"/>
        <v>10-2025</v>
      </c>
      <c r="D27" s="36" t="s">
        <v>35</v>
      </c>
      <c r="E27" s="36" t="s">
        <v>58</v>
      </c>
      <c r="F27" s="37">
        <v>87.88</v>
      </c>
      <c r="G27" s="36" t="s">
        <v>30</v>
      </c>
      <c r="H27" s="37">
        <f t="shared" si="1"/>
        <v>1</v>
      </c>
      <c r="I27" s="37">
        <f t="shared" si="2"/>
        <v>6</v>
      </c>
      <c r="J27" s="37" t="str">
        <f>IF(COUNTIF($A$2:A27,A27)=1,"New","Repeat")</f>
        <v>New</v>
      </c>
      <c r="K27" s="37">
        <f ca="1">IFERROR(__xludf.DUMMYFUNCTION("IF(I27=""4+"",
   COUNTUNIQUE(FILTER(A:A, I:I&gt;=4)),
   COUNTUNIQUE(FILTER(A:A, I:I=I27))
)"),19)</f>
        <v>19</v>
      </c>
      <c r="L27" s="36"/>
      <c r="M27" s="36"/>
      <c r="N27" s="36"/>
    </row>
    <row r="28" spans="1:14" ht="15" x14ac:dyDescent="0.25">
      <c r="A28" s="33" t="s">
        <v>64</v>
      </c>
      <c r="B28" s="39">
        <v>46001</v>
      </c>
      <c r="C28" s="35" t="str">
        <f t="shared" si="0"/>
        <v>12-2025</v>
      </c>
      <c r="D28" s="36" t="s">
        <v>18</v>
      </c>
      <c r="E28" s="36" t="s">
        <v>47</v>
      </c>
      <c r="F28" s="37">
        <v>387.1</v>
      </c>
      <c r="G28" s="36" t="s">
        <v>25</v>
      </c>
      <c r="H28" s="37">
        <f t="shared" si="1"/>
        <v>1</v>
      </c>
      <c r="I28" s="37">
        <f t="shared" si="2"/>
        <v>5</v>
      </c>
      <c r="J28" s="37" t="str">
        <f>IF(COUNTIF($A$2:A28,A28)=1,"New","Repeat")</f>
        <v>New</v>
      </c>
      <c r="K28" s="37">
        <f ca="1">IFERROR(__xludf.DUMMYFUNCTION("IF(I28=""4+"",
   COUNTUNIQUE(FILTER(A:A, I:I&gt;=4)),
   COUNTUNIQUE(FILTER(A:A, I:I=I28))
)"),34)</f>
        <v>34</v>
      </c>
      <c r="L28" s="36"/>
      <c r="M28" s="36"/>
      <c r="N28" s="36"/>
    </row>
    <row r="29" spans="1:14" ht="15" x14ac:dyDescent="0.25">
      <c r="A29" s="33" t="s">
        <v>42</v>
      </c>
      <c r="B29" s="34">
        <v>45890</v>
      </c>
      <c r="C29" s="35" t="str">
        <f t="shared" si="0"/>
        <v>08-2025</v>
      </c>
      <c r="D29" s="36" t="s">
        <v>18</v>
      </c>
      <c r="E29" s="36" t="s">
        <v>65</v>
      </c>
      <c r="F29" s="37">
        <v>467.51</v>
      </c>
      <c r="G29" s="36" t="s">
        <v>30</v>
      </c>
      <c r="H29" s="37">
        <f t="shared" si="1"/>
        <v>1</v>
      </c>
      <c r="I29" s="37">
        <f t="shared" si="2"/>
        <v>4</v>
      </c>
      <c r="J29" s="37" t="str">
        <f>IF(COUNTIF($A$2:A29,A29)=1,"New","Repeat")</f>
        <v>Repeat</v>
      </c>
      <c r="K29" s="37">
        <f ca="1">IFERROR(__xludf.DUMMYFUNCTION("IF(I29=""4+"",
   COUNTUNIQUE(FILTER(A:A, I:I&gt;=4)),
   COUNTUNIQUE(FILTER(A:A, I:I=I29))
)"),32)</f>
        <v>32</v>
      </c>
      <c r="L29" s="36"/>
      <c r="M29" s="36"/>
      <c r="N29" s="36"/>
    </row>
    <row r="30" spans="1:14" ht="15" x14ac:dyDescent="0.25">
      <c r="A30" s="33" t="s">
        <v>66</v>
      </c>
      <c r="B30" s="34">
        <v>45784</v>
      </c>
      <c r="C30" s="35" t="str">
        <f t="shared" si="0"/>
        <v>05-2025</v>
      </c>
      <c r="D30" s="36" t="s">
        <v>14</v>
      </c>
      <c r="E30" s="36" t="s">
        <v>41</v>
      </c>
      <c r="F30" s="37">
        <v>466.89</v>
      </c>
      <c r="G30" s="36" t="s">
        <v>22</v>
      </c>
      <c r="H30" s="37">
        <f t="shared" si="1"/>
        <v>1</v>
      </c>
      <c r="I30" s="37">
        <f t="shared" si="2"/>
        <v>3</v>
      </c>
      <c r="J30" s="37" t="str">
        <f>IF(COUNTIF($A$2:A30,A30)=1,"New","Repeat")</f>
        <v>New</v>
      </c>
      <c r="K30" s="37">
        <f ca="1">IFERROR(__xludf.DUMMYFUNCTION("IF(I30=""4+"",
   COUNTUNIQUE(FILTER(A:A, I:I&gt;=4)),
   COUNTUNIQUE(FILTER(A:A, I:I=I30))
)"),42)</f>
        <v>42</v>
      </c>
      <c r="L30" s="36"/>
      <c r="M30" s="36"/>
      <c r="N30" s="36"/>
    </row>
    <row r="31" spans="1:14" ht="15" x14ac:dyDescent="0.25">
      <c r="A31" s="33" t="s">
        <v>67</v>
      </c>
      <c r="B31" s="34">
        <v>45734</v>
      </c>
      <c r="C31" s="35" t="str">
        <f t="shared" si="0"/>
        <v>03-2025</v>
      </c>
      <c r="D31" s="36" t="s">
        <v>51</v>
      </c>
      <c r="E31" s="36" t="s">
        <v>68</v>
      </c>
      <c r="F31" s="37">
        <v>351.58</v>
      </c>
      <c r="G31" s="36" t="s">
        <v>16</v>
      </c>
      <c r="H31" s="37">
        <f t="shared" si="1"/>
        <v>1</v>
      </c>
      <c r="I31" s="37">
        <f t="shared" si="2"/>
        <v>7</v>
      </c>
      <c r="J31" s="37" t="str">
        <f>IF(COUNTIF($A$2:A31,A31)=1,"New","Repeat")</f>
        <v>New</v>
      </c>
      <c r="K31" s="37">
        <f ca="1">IFERROR(__xludf.DUMMYFUNCTION("IF(I31=""4+"",
   COUNTUNIQUE(FILTER(A:A, I:I&gt;=4)),
   COUNTUNIQUE(FILTER(A:A, I:I=I31))
)"),4)</f>
        <v>4</v>
      </c>
      <c r="L31" s="36"/>
      <c r="M31" s="36"/>
      <c r="N31" s="36"/>
    </row>
    <row r="32" spans="1:14" ht="15" x14ac:dyDescent="0.25">
      <c r="A32" s="33" t="s">
        <v>69</v>
      </c>
      <c r="B32" s="34">
        <v>45910</v>
      </c>
      <c r="C32" s="35" t="str">
        <f t="shared" si="0"/>
        <v>09-2025</v>
      </c>
      <c r="D32" s="36" t="s">
        <v>14</v>
      </c>
      <c r="E32" s="36" t="s">
        <v>59</v>
      </c>
      <c r="F32" s="37">
        <v>187.71</v>
      </c>
      <c r="G32" s="36" t="s">
        <v>70</v>
      </c>
      <c r="H32" s="37">
        <f t="shared" si="1"/>
        <v>1</v>
      </c>
      <c r="I32" s="37">
        <f t="shared" si="2"/>
        <v>4</v>
      </c>
      <c r="J32" s="37" t="str">
        <f>IF(COUNTIF($A$2:A32,A32)=1,"New","Repeat")</f>
        <v>New</v>
      </c>
      <c r="K32" s="37">
        <f ca="1">IFERROR(__xludf.DUMMYFUNCTION("IF(I32=""4+"",
   COUNTUNIQUE(FILTER(A:A, I:I&gt;=4)),
   COUNTUNIQUE(FILTER(A:A, I:I=I32))
)"),32)</f>
        <v>32</v>
      </c>
      <c r="L32" s="36"/>
      <c r="M32" s="36"/>
      <c r="N32" s="36"/>
    </row>
    <row r="33" spans="1:14" ht="15" x14ac:dyDescent="0.25">
      <c r="A33" s="33" t="s">
        <v>71</v>
      </c>
      <c r="B33" s="34">
        <v>45880</v>
      </c>
      <c r="C33" s="35" t="str">
        <f t="shared" si="0"/>
        <v>08-2025</v>
      </c>
      <c r="D33" s="36" t="s">
        <v>51</v>
      </c>
      <c r="E33" s="36" t="s">
        <v>72</v>
      </c>
      <c r="F33" s="37">
        <v>330.98</v>
      </c>
      <c r="G33" s="36" t="s">
        <v>33</v>
      </c>
      <c r="H33" s="37">
        <f t="shared" si="1"/>
        <v>1</v>
      </c>
      <c r="I33" s="37">
        <f t="shared" si="2"/>
        <v>7</v>
      </c>
      <c r="J33" s="37" t="str">
        <f>IF(COUNTIF($A$2:A33,A33)=1,"New","Repeat")</f>
        <v>New</v>
      </c>
      <c r="K33" s="37">
        <f ca="1">IFERROR(__xludf.DUMMYFUNCTION("IF(I33=""4+"",
   COUNTUNIQUE(FILTER(A:A, I:I&gt;=4)),
   COUNTUNIQUE(FILTER(A:A, I:I=I33))
)"),4)</f>
        <v>4</v>
      </c>
      <c r="L33" s="36"/>
      <c r="M33" s="36"/>
      <c r="N33" s="36"/>
    </row>
    <row r="34" spans="1:14" ht="15" x14ac:dyDescent="0.25">
      <c r="A34" s="33" t="s">
        <v>73</v>
      </c>
      <c r="B34" s="34">
        <v>45718</v>
      </c>
      <c r="C34" s="35" t="str">
        <f t="shared" si="0"/>
        <v>03-2025</v>
      </c>
      <c r="D34" s="36" t="s">
        <v>28</v>
      </c>
      <c r="E34" s="36" t="s">
        <v>74</v>
      </c>
      <c r="F34" s="37">
        <v>345.51</v>
      </c>
      <c r="G34" s="36" t="s">
        <v>22</v>
      </c>
      <c r="H34" s="37">
        <f t="shared" si="1"/>
        <v>1</v>
      </c>
      <c r="I34" s="37">
        <f t="shared" si="2"/>
        <v>3</v>
      </c>
      <c r="J34" s="37" t="str">
        <f>IF(COUNTIF($A$2:A34,A34)=1,"New","Repeat")</f>
        <v>New</v>
      </c>
      <c r="K34" s="37">
        <f ca="1">IFERROR(__xludf.DUMMYFUNCTION("IF(I34=""4+"",
   COUNTUNIQUE(FILTER(A:A, I:I&gt;=4)),
   COUNTUNIQUE(FILTER(A:A, I:I=I34))
)"),42)</f>
        <v>42</v>
      </c>
      <c r="L34" s="36"/>
      <c r="M34" s="36"/>
      <c r="N34" s="36"/>
    </row>
    <row r="35" spans="1:14" ht="15" x14ac:dyDescent="0.25">
      <c r="A35" s="33" t="s">
        <v>26</v>
      </c>
      <c r="B35" s="34">
        <v>45739</v>
      </c>
      <c r="C35" s="35" t="str">
        <f t="shared" si="0"/>
        <v>03-2025</v>
      </c>
      <c r="D35" s="36" t="s">
        <v>28</v>
      </c>
      <c r="E35" s="36" t="s">
        <v>43</v>
      </c>
      <c r="F35" s="37">
        <v>437.67</v>
      </c>
      <c r="G35" s="36" t="s">
        <v>30</v>
      </c>
      <c r="H35" s="37">
        <f t="shared" si="1"/>
        <v>1</v>
      </c>
      <c r="I35" s="37">
        <f t="shared" si="2"/>
        <v>9</v>
      </c>
      <c r="J35" s="37" t="str">
        <f>IF(COUNTIF($A$2:A35,A35)=1,"New","Repeat")</f>
        <v>Repeat</v>
      </c>
      <c r="K35" s="37">
        <f ca="1">IFERROR(__xludf.DUMMYFUNCTION("IF(I35=""4+"",
   COUNTUNIQUE(FILTER(A:A, I:I&gt;=4)),
   COUNTUNIQUE(FILTER(A:A, I:I=I35))
)"),2)</f>
        <v>2</v>
      </c>
      <c r="L35" s="36"/>
      <c r="M35" s="36"/>
      <c r="N35" s="36"/>
    </row>
    <row r="36" spans="1:14" ht="15" x14ac:dyDescent="0.25">
      <c r="A36" s="33" t="s">
        <v>75</v>
      </c>
      <c r="B36" s="34">
        <v>45936</v>
      </c>
      <c r="C36" s="35" t="str">
        <f t="shared" si="0"/>
        <v>10-2025</v>
      </c>
      <c r="D36" s="36" t="s">
        <v>18</v>
      </c>
      <c r="E36" s="36" t="s">
        <v>24</v>
      </c>
      <c r="F36" s="37">
        <v>116.58</v>
      </c>
      <c r="G36" s="36" t="s">
        <v>25</v>
      </c>
      <c r="H36" s="37">
        <f t="shared" si="1"/>
        <v>1</v>
      </c>
      <c r="I36" s="37">
        <f t="shared" si="2"/>
        <v>3</v>
      </c>
      <c r="J36" s="37" t="str">
        <f>IF(COUNTIF($A$2:A36,A36)=1,"New","Repeat")</f>
        <v>New</v>
      </c>
      <c r="K36" s="37">
        <f ca="1">IFERROR(__xludf.DUMMYFUNCTION("IF(I36=""4+"",
   COUNTUNIQUE(FILTER(A:A, I:I&gt;=4)),
   COUNTUNIQUE(FILTER(A:A, I:I=I36))
)"),42)</f>
        <v>42</v>
      </c>
      <c r="L36" s="36"/>
      <c r="M36" s="36"/>
      <c r="N36" s="36"/>
    </row>
    <row r="37" spans="1:14" ht="15" x14ac:dyDescent="0.25">
      <c r="A37" s="33" t="s">
        <v>76</v>
      </c>
      <c r="B37" s="34">
        <v>45865</v>
      </c>
      <c r="C37" s="35" t="str">
        <f t="shared" si="0"/>
        <v>07-2025</v>
      </c>
      <c r="D37" s="36" t="s">
        <v>35</v>
      </c>
      <c r="E37" s="36" t="s">
        <v>36</v>
      </c>
      <c r="F37" s="37">
        <v>120.01</v>
      </c>
      <c r="G37" s="36" t="s">
        <v>33</v>
      </c>
      <c r="H37" s="37">
        <f t="shared" si="1"/>
        <v>1</v>
      </c>
      <c r="I37" s="37">
        <f t="shared" si="2"/>
        <v>3</v>
      </c>
      <c r="J37" s="37" t="str">
        <f>IF(COUNTIF($A$2:A37,A37)=1,"New","Repeat")</f>
        <v>New</v>
      </c>
      <c r="K37" s="37">
        <f ca="1">IFERROR(__xludf.DUMMYFUNCTION("IF(I37=""4+"",
   COUNTUNIQUE(FILTER(A:A, I:I&gt;=4)),
   COUNTUNIQUE(FILTER(A:A, I:I=I37))
)"),42)</f>
        <v>42</v>
      </c>
      <c r="L37" s="36"/>
      <c r="M37" s="36"/>
      <c r="N37" s="36"/>
    </row>
    <row r="38" spans="1:14" ht="15" x14ac:dyDescent="0.25">
      <c r="A38" s="33" t="s">
        <v>77</v>
      </c>
      <c r="B38" s="34">
        <v>45910</v>
      </c>
      <c r="C38" s="35" t="str">
        <f t="shared" si="0"/>
        <v>09-2025</v>
      </c>
      <c r="D38" s="36" t="s">
        <v>51</v>
      </c>
      <c r="E38" s="36" t="s">
        <v>68</v>
      </c>
      <c r="F38" s="37">
        <v>55.22</v>
      </c>
      <c r="G38" s="36" t="s">
        <v>16</v>
      </c>
      <c r="H38" s="37">
        <f t="shared" si="1"/>
        <v>1</v>
      </c>
      <c r="I38" s="37">
        <f t="shared" si="2"/>
        <v>6</v>
      </c>
      <c r="J38" s="37" t="str">
        <f>IF(COUNTIF($A$2:A38,A38)=1,"New","Repeat")</f>
        <v>New</v>
      </c>
      <c r="K38" s="37">
        <f ca="1">IFERROR(__xludf.DUMMYFUNCTION("IF(I38=""4+"",
   COUNTUNIQUE(FILTER(A:A, I:I&gt;=4)),
   COUNTUNIQUE(FILTER(A:A, I:I=I38))
)"),19)</f>
        <v>19</v>
      </c>
      <c r="L38" s="36"/>
      <c r="M38" s="36"/>
      <c r="N38" s="36"/>
    </row>
    <row r="39" spans="1:14" ht="15" x14ac:dyDescent="0.25">
      <c r="A39" s="33" t="s">
        <v>78</v>
      </c>
      <c r="B39" s="34">
        <v>46062</v>
      </c>
      <c r="C39" s="35" t="str">
        <f t="shared" si="0"/>
        <v>02-2026</v>
      </c>
      <c r="D39" s="36" t="s">
        <v>51</v>
      </c>
      <c r="E39" s="36" t="s">
        <v>52</v>
      </c>
      <c r="F39" s="37">
        <v>77.56</v>
      </c>
      <c r="G39" s="36" t="s">
        <v>37</v>
      </c>
      <c r="H39" s="37">
        <f t="shared" si="1"/>
        <v>1</v>
      </c>
      <c r="I39" s="37">
        <f t="shared" si="2"/>
        <v>4</v>
      </c>
      <c r="J39" s="37" t="str">
        <f>IF(COUNTIF($A$2:A39,A39)=1,"New","Repeat")</f>
        <v>New</v>
      </c>
      <c r="K39" s="37">
        <f ca="1">IFERROR(__xludf.DUMMYFUNCTION("IF(I39=""4+"",
   COUNTUNIQUE(FILTER(A:A, I:I&gt;=4)),
   COUNTUNIQUE(FILTER(A:A, I:I=I39))
)"),32)</f>
        <v>32</v>
      </c>
      <c r="L39" s="36"/>
      <c r="M39" s="36"/>
      <c r="N39" s="36"/>
    </row>
    <row r="40" spans="1:14" ht="15" x14ac:dyDescent="0.25">
      <c r="A40" s="33" t="s">
        <v>49</v>
      </c>
      <c r="B40" s="39">
        <v>45982</v>
      </c>
      <c r="C40" s="35" t="str">
        <f t="shared" si="0"/>
        <v>11-2025</v>
      </c>
      <c r="D40" s="36" t="s">
        <v>28</v>
      </c>
      <c r="E40" s="36" t="s">
        <v>29</v>
      </c>
      <c r="F40" s="37">
        <v>426.31</v>
      </c>
      <c r="G40" s="36" t="s">
        <v>22</v>
      </c>
      <c r="H40" s="37">
        <f t="shared" si="1"/>
        <v>1</v>
      </c>
      <c r="I40" s="37">
        <f t="shared" si="2"/>
        <v>4</v>
      </c>
      <c r="J40" s="37" t="str">
        <f>IF(COUNTIF($A$2:A40,A40)=1,"New","Repeat")</f>
        <v>Repeat</v>
      </c>
      <c r="K40" s="37">
        <f ca="1">IFERROR(__xludf.DUMMYFUNCTION("IF(I40=""4+"",
   COUNTUNIQUE(FILTER(A:A, I:I&gt;=4)),
   COUNTUNIQUE(FILTER(A:A, I:I=I40))
)"),32)</f>
        <v>32</v>
      </c>
      <c r="L40" s="36"/>
      <c r="M40" s="36"/>
      <c r="N40" s="36"/>
    </row>
    <row r="41" spans="1:14" ht="15" x14ac:dyDescent="0.25">
      <c r="A41" s="33" t="s">
        <v>79</v>
      </c>
      <c r="B41" s="34">
        <v>46054</v>
      </c>
      <c r="C41" s="35" t="str">
        <f t="shared" si="0"/>
        <v>02-2026</v>
      </c>
      <c r="D41" s="36" t="s">
        <v>18</v>
      </c>
      <c r="E41" s="36" t="s">
        <v>47</v>
      </c>
      <c r="F41" s="37">
        <v>393.11</v>
      </c>
      <c r="G41" s="36" t="s">
        <v>70</v>
      </c>
      <c r="H41" s="37">
        <f t="shared" si="1"/>
        <v>1</v>
      </c>
      <c r="I41" s="37">
        <f t="shared" si="2"/>
        <v>3</v>
      </c>
      <c r="J41" s="37" t="str">
        <f>IF(COUNTIF($A$2:A41,A41)=1,"New","Repeat")</f>
        <v>New</v>
      </c>
      <c r="K41" s="37">
        <f ca="1">IFERROR(__xludf.DUMMYFUNCTION("IF(I41=""4+"",
   COUNTUNIQUE(FILTER(A:A, I:I&gt;=4)),
   COUNTUNIQUE(FILTER(A:A, I:I=I41))
)"),42)</f>
        <v>42</v>
      </c>
      <c r="L41" s="36"/>
      <c r="M41" s="36"/>
      <c r="N41" s="36"/>
    </row>
    <row r="42" spans="1:14" ht="15" x14ac:dyDescent="0.25">
      <c r="A42" s="33" t="s">
        <v>80</v>
      </c>
      <c r="B42" s="34">
        <v>45741</v>
      </c>
      <c r="C42" s="35" t="str">
        <f t="shared" si="0"/>
        <v>03-2025</v>
      </c>
      <c r="D42" s="36" t="s">
        <v>18</v>
      </c>
      <c r="E42" s="36" t="s">
        <v>47</v>
      </c>
      <c r="F42" s="37">
        <v>186.77</v>
      </c>
      <c r="G42" s="36" t="s">
        <v>16</v>
      </c>
      <c r="H42" s="37">
        <f t="shared" si="1"/>
        <v>1</v>
      </c>
      <c r="I42" s="37">
        <f t="shared" si="2"/>
        <v>6</v>
      </c>
      <c r="J42" s="37" t="str">
        <f>IF(COUNTIF($A$2:A42,A42)=1,"New","Repeat")</f>
        <v>New</v>
      </c>
      <c r="K42" s="37">
        <f ca="1">IFERROR(__xludf.DUMMYFUNCTION("IF(I42=""4+"",
   COUNTUNIQUE(FILTER(A:A, I:I&gt;=4)),
   COUNTUNIQUE(FILTER(A:A, I:I=I42))
)"),19)</f>
        <v>19</v>
      </c>
      <c r="L42" s="36"/>
      <c r="M42" s="36"/>
      <c r="N42" s="36"/>
    </row>
    <row r="43" spans="1:14" ht="15" x14ac:dyDescent="0.25">
      <c r="A43" s="33" t="s">
        <v>81</v>
      </c>
      <c r="B43" s="34">
        <v>45914</v>
      </c>
      <c r="C43" s="35" t="str">
        <f t="shared" si="0"/>
        <v>09-2025</v>
      </c>
      <c r="D43" s="36" t="s">
        <v>35</v>
      </c>
      <c r="E43" s="36" t="s">
        <v>54</v>
      </c>
      <c r="F43" s="37">
        <v>145.19</v>
      </c>
      <c r="G43" s="36" t="s">
        <v>33</v>
      </c>
      <c r="H43" s="37">
        <f t="shared" si="1"/>
        <v>1</v>
      </c>
      <c r="I43" s="37">
        <f t="shared" si="2"/>
        <v>10</v>
      </c>
      <c r="J43" s="37" t="str">
        <f>IF(COUNTIF($A$2:A43,A43)=1,"New","Repeat")</f>
        <v>New</v>
      </c>
      <c r="K43" s="37">
        <f ca="1">IFERROR(__xludf.DUMMYFUNCTION("IF(I43=""4+"",
   COUNTUNIQUE(FILTER(A:A, I:I&gt;=4)),
   COUNTUNIQUE(FILTER(A:A, I:I=I43))
)"),1)</f>
        <v>1</v>
      </c>
      <c r="L43" s="36"/>
      <c r="M43" s="36"/>
      <c r="N43" s="36"/>
    </row>
    <row r="44" spans="1:14" ht="15" x14ac:dyDescent="0.25">
      <c r="A44" s="33" t="s">
        <v>82</v>
      </c>
      <c r="B44" s="34">
        <v>45783</v>
      </c>
      <c r="C44" s="35" t="str">
        <f t="shared" si="0"/>
        <v>05-2025</v>
      </c>
      <c r="D44" s="36" t="s">
        <v>35</v>
      </c>
      <c r="E44" s="36" t="s">
        <v>58</v>
      </c>
      <c r="F44" s="37">
        <v>47.74</v>
      </c>
      <c r="G44" s="36" t="s">
        <v>16</v>
      </c>
      <c r="H44" s="37">
        <f t="shared" si="1"/>
        <v>1</v>
      </c>
      <c r="I44" s="37">
        <f t="shared" si="2"/>
        <v>5</v>
      </c>
      <c r="J44" s="37" t="str">
        <f>IF(COUNTIF($A$2:A44,A44)=1,"New","Repeat")</f>
        <v>New</v>
      </c>
      <c r="K44" s="37">
        <f ca="1">IFERROR(__xludf.DUMMYFUNCTION("IF(I44=""4+"",
   COUNTUNIQUE(FILTER(A:A, I:I&gt;=4)),
   COUNTUNIQUE(FILTER(A:A, I:I=I44))
)"),34)</f>
        <v>34</v>
      </c>
      <c r="L44" s="36"/>
      <c r="M44" s="36"/>
      <c r="N44" s="36"/>
    </row>
    <row r="45" spans="1:14" ht="15" x14ac:dyDescent="0.25">
      <c r="A45" s="33" t="s">
        <v>83</v>
      </c>
      <c r="B45" s="34">
        <v>45876</v>
      </c>
      <c r="C45" s="35" t="str">
        <f t="shared" si="0"/>
        <v>08-2025</v>
      </c>
      <c r="D45" s="36" t="s">
        <v>28</v>
      </c>
      <c r="E45" s="36" t="s">
        <v>74</v>
      </c>
      <c r="F45" s="37">
        <v>218.4</v>
      </c>
      <c r="G45" s="36" t="s">
        <v>16</v>
      </c>
      <c r="H45" s="37">
        <f t="shared" si="1"/>
        <v>1</v>
      </c>
      <c r="I45" s="37">
        <f t="shared" si="2"/>
        <v>4</v>
      </c>
      <c r="J45" s="37" t="str">
        <f>IF(COUNTIF($A$2:A45,A45)=1,"New","Repeat")</f>
        <v>New</v>
      </c>
      <c r="K45" s="37">
        <f ca="1">IFERROR(__xludf.DUMMYFUNCTION("IF(I45=""4+"",
   COUNTUNIQUE(FILTER(A:A, I:I&gt;=4)),
   COUNTUNIQUE(FILTER(A:A, I:I=I45))
)"),32)</f>
        <v>32</v>
      </c>
      <c r="L45" s="36"/>
      <c r="M45" s="36"/>
      <c r="N45" s="36"/>
    </row>
    <row r="46" spans="1:14" ht="15" x14ac:dyDescent="0.25">
      <c r="A46" s="33" t="s">
        <v>84</v>
      </c>
      <c r="B46" s="34">
        <v>45749</v>
      </c>
      <c r="C46" s="35" t="str">
        <f t="shared" si="0"/>
        <v>04-2025</v>
      </c>
      <c r="D46" s="36" t="s">
        <v>14</v>
      </c>
      <c r="E46" s="36" t="s">
        <v>59</v>
      </c>
      <c r="F46" s="37">
        <v>342.03</v>
      </c>
      <c r="G46" s="36" t="s">
        <v>37</v>
      </c>
      <c r="H46" s="37">
        <f t="shared" si="1"/>
        <v>1</v>
      </c>
      <c r="I46" s="37">
        <f t="shared" si="2"/>
        <v>5</v>
      </c>
      <c r="J46" s="37" t="str">
        <f>IF(COUNTIF($A$2:A46,A46)=1,"New","Repeat")</f>
        <v>New</v>
      </c>
      <c r="K46" s="37">
        <f ca="1">IFERROR(__xludf.DUMMYFUNCTION("IF(I46=""4+"",
   COUNTUNIQUE(FILTER(A:A, I:I&gt;=4)),
   COUNTUNIQUE(FILTER(A:A, I:I=I46))
)"),34)</f>
        <v>34</v>
      </c>
      <c r="L46" s="36"/>
      <c r="M46" s="36"/>
      <c r="N46" s="36"/>
    </row>
    <row r="47" spans="1:14" ht="15" x14ac:dyDescent="0.25">
      <c r="A47" s="33" t="s">
        <v>85</v>
      </c>
      <c r="B47" s="34">
        <v>46026</v>
      </c>
      <c r="C47" s="35" t="str">
        <f t="shared" si="0"/>
        <v>01-2026</v>
      </c>
      <c r="D47" s="36" t="s">
        <v>28</v>
      </c>
      <c r="E47" s="36" t="s">
        <v>43</v>
      </c>
      <c r="F47" s="37">
        <v>199.54</v>
      </c>
      <c r="G47" s="36" t="s">
        <v>37</v>
      </c>
      <c r="H47" s="37">
        <f t="shared" si="1"/>
        <v>1</v>
      </c>
      <c r="I47" s="37">
        <f t="shared" si="2"/>
        <v>3</v>
      </c>
      <c r="J47" s="37" t="str">
        <f>IF(COUNTIF($A$2:A47,A47)=1,"New","Repeat")</f>
        <v>New</v>
      </c>
      <c r="K47" s="37">
        <f ca="1">IFERROR(__xludf.DUMMYFUNCTION("IF(I47=""4+"",
   COUNTUNIQUE(FILTER(A:A, I:I&gt;=4)),
   COUNTUNIQUE(FILTER(A:A, I:I=I47))
)"),42)</f>
        <v>42</v>
      </c>
      <c r="L47" s="36"/>
      <c r="M47" s="36"/>
      <c r="N47" s="36"/>
    </row>
    <row r="48" spans="1:14" ht="15" x14ac:dyDescent="0.25">
      <c r="A48" s="33" t="s">
        <v>86</v>
      </c>
      <c r="B48" s="34">
        <v>45929</v>
      </c>
      <c r="C48" s="35" t="str">
        <f t="shared" si="0"/>
        <v>09-2025</v>
      </c>
      <c r="D48" s="36" t="s">
        <v>28</v>
      </c>
      <c r="E48" s="36" t="s">
        <v>87</v>
      </c>
      <c r="F48" s="37">
        <v>466.63</v>
      </c>
      <c r="G48" s="36" t="s">
        <v>16</v>
      </c>
      <c r="H48" s="37">
        <f t="shared" si="1"/>
        <v>1</v>
      </c>
      <c r="I48" s="37">
        <f t="shared" si="2"/>
        <v>7</v>
      </c>
      <c r="J48" s="37" t="str">
        <f>IF(COUNTIF($A$2:A48,A48)=1,"New","Repeat")</f>
        <v>New</v>
      </c>
      <c r="K48" s="37">
        <f ca="1">IFERROR(__xludf.DUMMYFUNCTION("IF(I48=""4+"",
   COUNTUNIQUE(FILTER(A:A, I:I&gt;=4)),
   COUNTUNIQUE(FILTER(A:A, I:I=I48))
)"),4)</f>
        <v>4</v>
      </c>
      <c r="L48" s="36"/>
      <c r="M48" s="36"/>
      <c r="N48" s="36"/>
    </row>
    <row r="49" spans="1:14" ht="15" x14ac:dyDescent="0.25">
      <c r="A49" s="33" t="s">
        <v>88</v>
      </c>
      <c r="B49" s="34">
        <v>45929</v>
      </c>
      <c r="C49" s="35" t="str">
        <f t="shared" si="0"/>
        <v>09-2025</v>
      </c>
      <c r="D49" s="36" t="s">
        <v>14</v>
      </c>
      <c r="E49" s="36" t="s">
        <v>15</v>
      </c>
      <c r="F49" s="37">
        <v>278.2</v>
      </c>
      <c r="G49" s="36" t="s">
        <v>33</v>
      </c>
      <c r="H49" s="37">
        <f t="shared" si="1"/>
        <v>1</v>
      </c>
      <c r="I49" s="37">
        <f t="shared" si="2"/>
        <v>5</v>
      </c>
      <c r="J49" s="37" t="str">
        <f>IF(COUNTIF($A$2:A49,A49)=1,"New","Repeat")</f>
        <v>New</v>
      </c>
      <c r="K49" s="37">
        <f ca="1">IFERROR(__xludf.DUMMYFUNCTION("IF(I49=""4+"",
   COUNTUNIQUE(FILTER(A:A, I:I&gt;=4)),
   COUNTUNIQUE(FILTER(A:A, I:I=I49))
)"),34)</f>
        <v>34</v>
      </c>
      <c r="L49" s="36"/>
      <c r="M49" s="36"/>
      <c r="N49" s="36"/>
    </row>
    <row r="50" spans="1:14" ht="15" x14ac:dyDescent="0.25">
      <c r="A50" s="33" t="s">
        <v>89</v>
      </c>
      <c r="B50" s="34">
        <v>46043</v>
      </c>
      <c r="C50" s="35" t="str">
        <f t="shared" si="0"/>
        <v>01-2026</v>
      </c>
      <c r="D50" s="36" t="s">
        <v>28</v>
      </c>
      <c r="E50" s="36" t="s">
        <v>29</v>
      </c>
      <c r="F50" s="37">
        <v>397.06</v>
      </c>
      <c r="G50" s="36" t="s">
        <v>22</v>
      </c>
      <c r="H50" s="37">
        <f t="shared" si="1"/>
        <v>1</v>
      </c>
      <c r="I50" s="37">
        <f t="shared" si="2"/>
        <v>2</v>
      </c>
      <c r="J50" s="37" t="str">
        <f>IF(COUNTIF($A$2:A50,A50)=1,"New","Repeat")</f>
        <v>New</v>
      </c>
      <c r="K50" s="37">
        <f ca="1">IFERROR(__xludf.DUMMYFUNCTION("IF(I50=""4+"",
   COUNTUNIQUE(FILTER(A:A, I:I&gt;=4)),
   COUNTUNIQUE(FILTER(A:A, I:I=I50))
)"),37)</f>
        <v>37</v>
      </c>
      <c r="L50" s="36"/>
      <c r="M50" s="36"/>
      <c r="N50" s="36"/>
    </row>
    <row r="51" spans="1:14" ht="15" x14ac:dyDescent="0.25">
      <c r="A51" s="33" t="s">
        <v>90</v>
      </c>
      <c r="B51" s="34">
        <v>45901</v>
      </c>
      <c r="C51" s="35" t="str">
        <f t="shared" si="0"/>
        <v>09-2025</v>
      </c>
      <c r="D51" s="36" t="s">
        <v>28</v>
      </c>
      <c r="E51" s="36" t="s">
        <v>87</v>
      </c>
      <c r="F51" s="37">
        <v>70.94</v>
      </c>
      <c r="G51" s="36" t="s">
        <v>33</v>
      </c>
      <c r="H51" s="37">
        <f t="shared" si="1"/>
        <v>1</v>
      </c>
      <c r="I51" s="37">
        <f t="shared" si="2"/>
        <v>5</v>
      </c>
      <c r="J51" s="37" t="str">
        <f>IF(COUNTIF($A$2:A51,A51)=1,"New","Repeat")</f>
        <v>New</v>
      </c>
      <c r="K51" s="37">
        <f ca="1">IFERROR(__xludf.DUMMYFUNCTION("IF(I51=""4+"",
   COUNTUNIQUE(FILTER(A:A, I:I&gt;=4)),
   COUNTUNIQUE(FILTER(A:A, I:I=I51))
)"),34)</f>
        <v>34</v>
      </c>
      <c r="L51" s="36"/>
      <c r="M51" s="36"/>
      <c r="N51" s="36"/>
    </row>
    <row r="52" spans="1:14" ht="15" x14ac:dyDescent="0.25">
      <c r="A52" s="33" t="s">
        <v>38</v>
      </c>
      <c r="B52" s="34">
        <v>46074</v>
      </c>
      <c r="C52" s="35" t="str">
        <f t="shared" si="0"/>
        <v>02-2026</v>
      </c>
      <c r="D52" s="36" t="s">
        <v>28</v>
      </c>
      <c r="E52" s="36" t="s">
        <v>43</v>
      </c>
      <c r="F52" s="37">
        <v>71.709999999999994</v>
      </c>
      <c r="G52" s="36" t="s">
        <v>30</v>
      </c>
      <c r="H52" s="37">
        <f t="shared" si="1"/>
        <v>1</v>
      </c>
      <c r="I52" s="37">
        <f t="shared" si="2"/>
        <v>3</v>
      </c>
      <c r="J52" s="37" t="str">
        <f>IF(COUNTIF($A$2:A52,A52)=1,"New","Repeat")</f>
        <v>Repeat</v>
      </c>
      <c r="K52" s="37">
        <f ca="1">IFERROR(__xludf.DUMMYFUNCTION("IF(I52=""4+"",
   COUNTUNIQUE(FILTER(A:A, I:I&gt;=4)),
   COUNTUNIQUE(FILTER(A:A, I:I=I52))
)"),42)</f>
        <v>42</v>
      </c>
      <c r="L52" s="36"/>
      <c r="M52" s="36"/>
      <c r="N52" s="36"/>
    </row>
    <row r="53" spans="1:14" ht="15" x14ac:dyDescent="0.25">
      <c r="A53" s="33" t="s">
        <v>91</v>
      </c>
      <c r="B53" s="34">
        <v>45755</v>
      </c>
      <c r="C53" s="35" t="str">
        <f t="shared" si="0"/>
        <v>04-2025</v>
      </c>
      <c r="D53" s="36" t="s">
        <v>35</v>
      </c>
      <c r="E53" s="36" t="s">
        <v>54</v>
      </c>
      <c r="F53" s="37">
        <v>355.51</v>
      </c>
      <c r="G53" s="36" t="s">
        <v>70</v>
      </c>
      <c r="H53" s="37">
        <f t="shared" si="1"/>
        <v>0</v>
      </c>
      <c r="I53" s="37">
        <f t="shared" si="2"/>
        <v>1</v>
      </c>
      <c r="J53" s="37" t="str">
        <f>IF(COUNTIF($A$2:A53,A53)=1,"New","Repeat")</f>
        <v>New</v>
      </c>
      <c r="K53" s="37">
        <f ca="1">IFERROR(__xludf.DUMMYFUNCTION("IF(I53=""4+"",
   COUNTUNIQUE(FILTER(A:A, I:I&gt;=4)),
   COUNTUNIQUE(FILTER(A:A, I:I=I53))
)"),24)</f>
        <v>24</v>
      </c>
      <c r="L53" s="36"/>
      <c r="M53" s="36"/>
      <c r="N53" s="36"/>
    </row>
    <row r="54" spans="1:14" ht="15" x14ac:dyDescent="0.25">
      <c r="A54" s="33" t="s">
        <v>92</v>
      </c>
      <c r="B54" s="39">
        <v>46016</v>
      </c>
      <c r="C54" s="35" t="str">
        <f t="shared" si="0"/>
        <v>12-2025</v>
      </c>
      <c r="D54" s="36" t="s">
        <v>28</v>
      </c>
      <c r="E54" s="36" t="s">
        <v>43</v>
      </c>
      <c r="F54" s="37">
        <v>222.49</v>
      </c>
      <c r="G54" s="36" t="s">
        <v>37</v>
      </c>
      <c r="H54" s="37">
        <f t="shared" si="1"/>
        <v>1</v>
      </c>
      <c r="I54" s="37">
        <f t="shared" si="2"/>
        <v>6</v>
      </c>
      <c r="J54" s="37" t="str">
        <f>IF(COUNTIF($A$2:A54,A54)=1,"New","Repeat")</f>
        <v>New</v>
      </c>
      <c r="K54" s="37">
        <f ca="1">IFERROR(__xludf.DUMMYFUNCTION("IF(I54=""4+"",
   COUNTUNIQUE(FILTER(A:A, I:I&gt;=4)),
   COUNTUNIQUE(FILTER(A:A, I:I=I54))
)"),19)</f>
        <v>19</v>
      </c>
      <c r="L54" s="36"/>
      <c r="M54" s="36"/>
      <c r="N54" s="36"/>
    </row>
    <row r="55" spans="1:14" ht="15" x14ac:dyDescent="0.25">
      <c r="A55" s="33" t="s">
        <v>26</v>
      </c>
      <c r="B55" s="34">
        <v>46045</v>
      </c>
      <c r="C55" s="35" t="str">
        <f t="shared" si="0"/>
        <v>01-2026</v>
      </c>
      <c r="D55" s="36" t="s">
        <v>35</v>
      </c>
      <c r="E55" s="36" t="s">
        <v>93</v>
      </c>
      <c r="F55" s="37">
        <v>427.64</v>
      </c>
      <c r="G55" s="36" t="s">
        <v>33</v>
      </c>
      <c r="H55" s="37">
        <f t="shared" si="1"/>
        <v>1</v>
      </c>
      <c r="I55" s="37">
        <f t="shared" si="2"/>
        <v>9</v>
      </c>
      <c r="J55" s="37" t="str">
        <f>IF(COUNTIF($A$2:A55,A55)=1,"New","Repeat")</f>
        <v>Repeat</v>
      </c>
      <c r="K55" s="37">
        <f ca="1">IFERROR(__xludf.DUMMYFUNCTION("IF(I55=""4+"",
   COUNTUNIQUE(FILTER(A:A, I:I&gt;=4)),
   COUNTUNIQUE(FILTER(A:A, I:I=I55))
)"),2)</f>
        <v>2</v>
      </c>
      <c r="L55" s="36"/>
      <c r="M55" s="36"/>
      <c r="N55" s="36"/>
    </row>
    <row r="56" spans="1:14" ht="15" x14ac:dyDescent="0.25">
      <c r="A56" s="33" t="s">
        <v>94</v>
      </c>
      <c r="B56" s="34">
        <v>45743</v>
      </c>
      <c r="C56" s="35" t="str">
        <f t="shared" si="0"/>
        <v>03-2025</v>
      </c>
      <c r="D56" s="36" t="s">
        <v>28</v>
      </c>
      <c r="E56" s="36" t="s">
        <v>45</v>
      </c>
      <c r="F56" s="37">
        <v>171.76</v>
      </c>
      <c r="G56" s="36" t="s">
        <v>37</v>
      </c>
      <c r="H56" s="37">
        <f t="shared" si="1"/>
        <v>1</v>
      </c>
      <c r="I56" s="37">
        <f t="shared" si="2"/>
        <v>2</v>
      </c>
      <c r="J56" s="37" t="str">
        <f>IF(COUNTIF($A$2:A56,A56)=1,"New","Repeat")</f>
        <v>New</v>
      </c>
      <c r="K56" s="37">
        <f ca="1">IFERROR(__xludf.DUMMYFUNCTION("IF(I56=""4+"",
   COUNTUNIQUE(FILTER(A:A, I:I&gt;=4)),
   COUNTUNIQUE(FILTER(A:A, I:I=I56))
)"),37)</f>
        <v>37</v>
      </c>
      <c r="L56" s="36"/>
      <c r="M56" s="36"/>
      <c r="N56" s="36"/>
    </row>
    <row r="57" spans="1:14" ht="15" x14ac:dyDescent="0.25">
      <c r="A57" s="33" t="s">
        <v>95</v>
      </c>
      <c r="B57" s="34">
        <v>45903</v>
      </c>
      <c r="C57" s="35" t="str">
        <f t="shared" si="0"/>
        <v>09-2025</v>
      </c>
      <c r="D57" s="36" t="s">
        <v>14</v>
      </c>
      <c r="E57" s="36" t="s">
        <v>96</v>
      </c>
      <c r="F57" s="37">
        <v>354.04</v>
      </c>
      <c r="G57" s="36" t="s">
        <v>25</v>
      </c>
      <c r="H57" s="37">
        <f t="shared" si="1"/>
        <v>1</v>
      </c>
      <c r="I57" s="37">
        <f t="shared" si="2"/>
        <v>5</v>
      </c>
      <c r="J57" s="37" t="str">
        <f>IF(COUNTIF($A$2:A57,A57)=1,"New","Repeat")</f>
        <v>New</v>
      </c>
      <c r="K57" s="37">
        <f ca="1">IFERROR(__xludf.DUMMYFUNCTION("IF(I57=""4+"",
   COUNTUNIQUE(FILTER(A:A, I:I&gt;=4)),
   COUNTUNIQUE(FILTER(A:A, I:I=I57))
)"),34)</f>
        <v>34</v>
      </c>
      <c r="L57" s="36"/>
      <c r="M57" s="36"/>
      <c r="N57" s="36"/>
    </row>
    <row r="58" spans="1:14" ht="15" x14ac:dyDescent="0.25">
      <c r="A58" s="33" t="s">
        <v>81</v>
      </c>
      <c r="B58" s="34">
        <v>45831</v>
      </c>
      <c r="C58" s="35" t="str">
        <f t="shared" si="0"/>
        <v>06-2025</v>
      </c>
      <c r="D58" s="36" t="s">
        <v>18</v>
      </c>
      <c r="E58" s="36" t="s">
        <v>47</v>
      </c>
      <c r="F58" s="37">
        <v>239.36</v>
      </c>
      <c r="G58" s="36" t="s">
        <v>22</v>
      </c>
      <c r="H58" s="37">
        <f t="shared" si="1"/>
        <v>1</v>
      </c>
      <c r="I58" s="37">
        <f t="shared" si="2"/>
        <v>10</v>
      </c>
      <c r="J58" s="37" t="str">
        <f>IF(COUNTIF($A$2:A58,A58)=1,"New","Repeat")</f>
        <v>Repeat</v>
      </c>
      <c r="K58" s="37">
        <f ca="1">IFERROR(__xludf.DUMMYFUNCTION("IF(I58=""4+"",
   COUNTUNIQUE(FILTER(A:A, I:I&gt;=4)),
   COUNTUNIQUE(FILTER(A:A, I:I=I58))
)"),1)</f>
        <v>1</v>
      </c>
      <c r="L58" s="36"/>
      <c r="M58" s="36"/>
      <c r="N58" s="36"/>
    </row>
    <row r="59" spans="1:14" ht="15" x14ac:dyDescent="0.25">
      <c r="A59" s="33" t="s">
        <v>97</v>
      </c>
      <c r="B59" s="39">
        <v>46008</v>
      </c>
      <c r="C59" s="35" t="str">
        <f t="shared" si="0"/>
        <v>12-2025</v>
      </c>
      <c r="D59" s="36" t="s">
        <v>28</v>
      </c>
      <c r="E59" s="36" t="s">
        <v>43</v>
      </c>
      <c r="F59" s="37">
        <v>215.77</v>
      </c>
      <c r="G59" s="36" t="s">
        <v>30</v>
      </c>
      <c r="H59" s="37">
        <f t="shared" si="1"/>
        <v>1</v>
      </c>
      <c r="I59" s="37">
        <f t="shared" si="2"/>
        <v>5</v>
      </c>
      <c r="J59" s="37" t="str">
        <f>IF(COUNTIF($A$2:A59,A59)=1,"New","Repeat")</f>
        <v>New</v>
      </c>
      <c r="K59" s="37">
        <f ca="1">IFERROR(__xludf.DUMMYFUNCTION("IF(I59=""4+"",
   COUNTUNIQUE(FILTER(A:A, I:I&gt;=4)),
   COUNTUNIQUE(FILTER(A:A, I:I=I59))
)"),34)</f>
        <v>34</v>
      </c>
      <c r="L59" s="36"/>
      <c r="M59" s="36"/>
      <c r="N59" s="36"/>
    </row>
    <row r="60" spans="1:14" ht="15" x14ac:dyDescent="0.25">
      <c r="A60" s="33" t="s">
        <v>75</v>
      </c>
      <c r="B60" s="34">
        <v>46074</v>
      </c>
      <c r="C60" s="35" t="str">
        <f t="shared" si="0"/>
        <v>02-2026</v>
      </c>
      <c r="D60" s="36" t="s">
        <v>35</v>
      </c>
      <c r="E60" s="36" t="s">
        <v>39</v>
      </c>
      <c r="F60" s="37">
        <v>330.4</v>
      </c>
      <c r="G60" s="36" t="s">
        <v>30</v>
      </c>
      <c r="H60" s="37">
        <f t="shared" si="1"/>
        <v>1</v>
      </c>
      <c r="I60" s="37">
        <f t="shared" si="2"/>
        <v>3</v>
      </c>
      <c r="J60" s="37" t="str">
        <f>IF(COUNTIF($A$2:A60,A60)=1,"New","Repeat")</f>
        <v>Repeat</v>
      </c>
      <c r="K60" s="37">
        <f ca="1">IFERROR(__xludf.DUMMYFUNCTION("IF(I60=""4+"",
   COUNTUNIQUE(FILTER(A:A, I:I&gt;=4)),
   COUNTUNIQUE(FILTER(A:A, I:I=I60))
)"),42)</f>
        <v>42</v>
      </c>
      <c r="L60" s="36"/>
      <c r="M60" s="36"/>
      <c r="N60" s="36"/>
    </row>
    <row r="61" spans="1:14" ht="15" x14ac:dyDescent="0.25">
      <c r="A61" s="33" t="s">
        <v>40</v>
      </c>
      <c r="B61" s="34">
        <v>46071</v>
      </c>
      <c r="C61" s="35" t="str">
        <f t="shared" si="0"/>
        <v>02-2026</v>
      </c>
      <c r="D61" s="36" t="s">
        <v>18</v>
      </c>
      <c r="E61" s="36" t="s">
        <v>24</v>
      </c>
      <c r="F61" s="37">
        <v>386.13</v>
      </c>
      <c r="G61" s="36" t="s">
        <v>37</v>
      </c>
      <c r="H61" s="37">
        <f t="shared" si="1"/>
        <v>1</v>
      </c>
      <c r="I61" s="37">
        <f t="shared" si="2"/>
        <v>5</v>
      </c>
      <c r="J61" s="37" t="str">
        <f>IF(COUNTIF($A$2:A61,A61)=1,"New","Repeat")</f>
        <v>Repeat</v>
      </c>
      <c r="K61" s="37">
        <f ca="1">IFERROR(__xludf.DUMMYFUNCTION("IF(I61=""4+"",
   COUNTUNIQUE(FILTER(A:A, I:I&gt;=4)),
   COUNTUNIQUE(FILTER(A:A, I:I=I61))
)"),34)</f>
        <v>34</v>
      </c>
      <c r="L61" s="36"/>
      <c r="M61" s="36"/>
      <c r="N61" s="36"/>
    </row>
    <row r="62" spans="1:14" ht="15" x14ac:dyDescent="0.25">
      <c r="A62" s="33" t="s">
        <v>20</v>
      </c>
      <c r="B62" s="34">
        <v>45997</v>
      </c>
      <c r="C62" s="35" t="str">
        <f t="shared" si="0"/>
        <v>12-2025</v>
      </c>
      <c r="D62" s="36" t="s">
        <v>35</v>
      </c>
      <c r="E62" s="36" t="s">
        <v>39</v>
      </c>
      <c r="F62" s="37">
        <v>333.88</v>
      </c>
      <c r="G62" s="36" t="s">
        <v>37</v>
      </c>
      <c r="H62" s="37">
        <f t="shared" si="1"/>
        <v>1</v>
      </c>
      <c r="I62" s="37">
        <f t="shared" si="2"/>
        <v>5</v>
      </c>
      <c r="J62" s="37" t="str">
        <f>IF(COUNTIF($A$2:A62,A62)=1,"New","Repeat")</f>
        <v>Repeat</v>
      </c>
      <c r="K62" s="37">
        <f ca="1">IFERROR(__xludf.DUMMYFUNCTION("IF(I62=""4+"",
   COUNTUNIQUE(FILTER(A:A, I:I&gt;=4)),
   COUNTUNIQUE(FILTER(A:A, I:I=I62))
)"),34)</f>
        <v>34</v>
      </c>
      <c r="L62" s="36"/>
      <c r="M62" s="36"/>
      <c r="N62" s="36"/>
    </row>
    <row r="63" spans="1:14" ht="15" x14ac:dyDescent="0.25">
      <c r="A63" s="33" t="s">
        <v>98</v>
      </c>
      <c r="B63" s="34">
        <v>45775</v>
      </c>
      <c r="C63" s="35" t="str">
        <f t="shared" si="0"/>
        <v>04-2025</v>
      </c>
      <c r="D63" s="36" t="s">
        <v>14</v>
      </c>
      <c r="E63" s="36" t="s">
        <v>41</v>
      </c>
      <c r="F63" s="37">
        <v>139.87</v>
      </c>
      <c r="G63" s="36" t="s">
        <v>30</v>
      </c>
      <c r="H63" s="37">
        <f t="shared" si="1"/>
        <v>1</v>
      </c>
      <c r="I63" s="37">
        <f t="shared" si="2"/>
        <v>4</v>
      </c>
      <c r="J63" s="37" t="str">
        <f>IF(COUNTIF($A$2:A63,A63)=1,"New","Repeat")</f>
        <v>New</v>
      </c>
      <c r="K63" s="37">
        <f ca="1">IFERROR(__xludf.DUMMYFUNCTION("IF(I63=""4+"",
   COUNTUNIQUE(FILTER(A:A, I:I&gt;=4)),
   COUNTUNIQUE(FILTER(A:A, I:I=I63))
)"),32)</f>
        <v>32</v>
      </c>
      <c r="L63" s="36"/>
      <c r="M63" s="36"/>
      <c r="N63" s="36"/>
    </row>
    <row r="64" spans="1:14" ht="15" x14ac:dyDescent="0.25">
      <c r="A64" s="33" t="s">
        <v>99</v>
      </c>
      <c r="B64" s="34">
        <v>45914</v>
      </c>
      <c r="C64" s="35" t="str">
        <f t="shared" si="0"/>
        <v>09-2025</v>
      </c>
      <c r="D64" s="36" t="s">
        <v>28</v>
      </c>
      <c r="E64" s="36" t="s">
        <v>87</v>
      </c>
      <c r="F64" s="37">
        <v>247.72</v>
      </c>
      <c r="G64" s="36" t="s">
        <v>16</v>
      </c>
      <c r="H64" s="37">
        <f t="shared" si="1"/>
        <v>1</v>
      </c>
      <c r="I64" s="37">
        <f t="shared" si="2"/>
        <v>3</v>
      </c>
      <c r="J64" s="37" t="str">
        <f>IF(COUNTIF($A$2:A64,A64)=1,"New","Repeat")</f>
        <v>New</v>
      </c>
      <c r="K64" s="37">
        <f ca="1">IFERROR(__xludf.DUMMYFUNCTION("IF(I64=""4+"",
   COUNTUNIQUE(FILTER(A:A, I:I&gt;=4)),
   COUNTUNIQUE(FILTER(A:A, I:I=I64))
)"),42)</f>
        <v>42</v>
      </c>
      <c r="L64" s="36"/>
      <c r="M64" s="36"/>
      <c r="N64" s="36"/>
    </row>
    <row r="65" spans="1:14" ht="15" x14ac:dyDescent="0.25">
      <c r="A65" s="33" t="s">
        <v>100</v>
      </c>
      <c r="B65" s="34">
        <v>45888</v>
      </c>
      <c r="C65" s="35" t="str">
        <f t="shared" si="0"/>
        <v>08-2025</v>
      </c>
      <c r="D65" s="36" t="s">
        <v>51</v>
      </c>
      <c r="E65" s="36" t="s">
        <v>101</v>
      </c>
      <c r="F65" s="37">
        <v>27.36</v>
      </c>
      <c r="G65" s="36" t="s">
        <v>16</v>
      </c>
      <c r="H65" s="37">
        <f t="shared" si="1"/>
        <v>1</v>
      </c>
      <c r="I65" s="37">
        <f t="shared" si="2"/>
        <v>6</v>
      </c>
      <c r="J65" s="37" t="str">
        <f>IF(COUNTIF($A$2:A65,A65)=1,"New","Repeat")</f>
        <v>New</v>
      </c>
      <c r="K65" s="37">
        <f ca="1">IFERROR(__xludf.DUMMYFUNCTION("IF(I65=""4+"",
   COUNTUNIQUE(FILTER(A:A, I:I&gt;=4)),
   COUNTUNIQUE(FILTER(A:A, I:I=I65))
)"),19)</f>
        <v>19</v>
      </c>
      <c r="L65" s="36"/>
      <c r="M65" s="36"/>
      <c r="N65" s="36"/>
    </row>
    <row r="66" spans="1:14" ht="15" x14ac:dyDescent="0.25">
      <c r="A66" s="33" t="s">
        <v>102</v>
      </c>
      <c r="B66" s="39">
        <v>46011</v>
      </c>
      <c r="C66" s="35" t="str">
        <f t="shared" ref="C66:C129" si="3">TEXT(B:B, "mm-yyyy")</f>
        <v>12-2025</v>
      </c>
      <c r="D66" s="36" t="s">
        <v>35</v>
      </c>
      <c r="E66" s="36" t="s">
        <v>39</v>
      </c>
      <c r="F66" s="37">
        <v>84.45</v>
      </c>
      <c r="G66" s="36" t="s">
        <v>30</v>
      </c>
      <c r="H66" s="37">
        <f t="shared" si="1"/>
        <v>1</v>
      </c>
      <c r="I66" s="37">
        <f t="shared" ref="I66:I129" si="4">COUNTIF($A:$A, A66)</f>
        <v>5</v>
      </c>
      <c r="J66" s="37" t="str">
        <f>IF(COUNTIF($A$2:A66,A66)=1,"New","Repeat")</f>
        <v>New</v>
      </c>
      <c r="K66" s="37">
        <f ca="1">IFERROR(__xludf.DUMMYFUNCTION("IF(I66=""4+"",
   COUNTUNIQUE(FILTER(A:A, I:I&gt;=4)),
   COUNTUNIQUE(FILTER(A:A, I:I=I66))
)"),34)</f>
        <v>34</v>
      </c>
      <c r="L66" s="36"/>
      <c r="M66" s="36"/>
      <c r="N66" s="36"/>
    </row>
    <row r="67" spans="1:14" ht="15" x14ac:dyDescent="0.25">
      <c r="A67" s="33" t="s">
        <v>103</v>
      </c>
      <c r="B67" s="34">
        <v>45818</v>
      </c>
      <c r="C67" s="35" t="str">
        <f t="shared" si="3"/>
        <v>06-2025</v>
      </c>
      <c r="D67" s="36" t="s">
        <v>14</v>
      </c>
      <c r="E67" s="36" t="s">
        <v>59</v>
      </c>
      <c r="F67" s="37">
        <v>455.78</v>
      </c>
      <c r="G67" s="36" t="s">
        <v>25</v>
      </c>
      <c r="H67" s="37">
        <f t="shared" si="1"/>
        <v>1</v>
      </c>
      <c r="I67" s="37">
        <f t="shared" si="4"/>
        <v>2</v>
      </c>
      <c r="J67" s="37" t="str">
        <f>IF(COUNTIF($A$2:A67,A67)=1,"New","Repeat")</f>
        <v>New</v>
      </c>
      <c r="K67" s="37">
        <f ca="1">IFERROR(__xludf.DUMMYFUNCTION("IF(I67=""4+"",
   COUNTUNIQUE(FILTER(A:A, I:I&gt;=4)),
   COUNTUNIQUE(FILTER(A:A, I:I=I67))
)"),37)</f>
        <v>37</v>
      </c>
      <c r="L67" s="36"/>
      <c r="M67" s="36"/>
      <c r="N67" s="36"/>
    </row>
    <row r="68" spans="1:14" ht="15" x14ac:dyDescent="0.25">
      <c r="A68" s="33" t="s">
        <v>104</v>
      </c>
      <c r="B68" s="39">
        <v>46002</v>
      </c>
      <c r="C68" s="35" t="str">
        <f t="shared" si="3"/>
        <v>12-2025</v>
      </c>
      <c r="D68" s="36" t="s">
        <v>35</v>
      </c>
      <c r="E68" s="36" t="s">
        <v>58</v>
      </c>
      <c r="F68" s="37">
        <v>51.83</v>
      </c>
      <c r="G68" s="36" t="s">
        <v>37</v>
      </c>
      <c r="H68" s="37">
        <f t="shared" si="1"/>
        <v>1</v>
      </c>
      <c r="I68" s="37">
        <f t="shared" si="4"/>
        <v>4</v>
      </c>
      <c r="J68" s="37" t="str">
        <f>IF(COUNTIF($A$2:A68,A68)=1,"New","Repeat")</f>
        <v>New</v>
      </c>
      <c r="K68" s="37">
        <f ca="1">IFERROR(__xludf.DUMMYFUNCTION("IF(I68=""4+"",
   COUNTUNIQUE(FILTER(A:A, I:I&gt;=4)),
   COUNTUNIQUE(FILTER(A:A, I:I=I68))
)"),32)</f>
        <v>32</v>
      </c>
      <c r="L68" s="36"/>
      <c r="M68" s="36"/>
      <c r="N68" s="36"/>
    </row>
    <row r="69" spans="1:14" ht="15" x14ac:dyDescent="0.25">
      <c r="A69" s="33" t="s">
        <v>84</v>
      </c>
      <c r="B69" s="34">
        <v>45810</v>
      </c>
      <c r="C69" s="35" t="str">
        <f t="shared" si="3"/>
        <v>06-2025</v>
      </c>
      <c r="D69" s="36" t="s">
        <v>18</v>
      </c>
      <c r="E69" s="36" t="s">
        <v>21</v>
      </c>
      <c r="F69" s="37">
        <v>83.13</v>
      </c>
      <c r="G69" s="36" t="s">
        <v>22</v>
      </c>
      <c r="H69" s="37">
        <f t="shared" si="1"/>
        <v>1</v>
      </c>
      <c r="I69" s="37">
        <f t="shared" si="4"/>
        <v>5</v>
      </c>
      <c r="J69" s="37" t="str">
        <f>IF(COUNTIF($A$2:A69,A69)=1,"New","Repeat")</f>
        <v>Repeat</v>
      </c>
      <c r="K69" s="37">
        <f ca="1">IFERROR(__xludf.DUMMYFUNCTION("IF(I69=""4+"",
   COUNTUNIQUE(FILTER(A:A, I:I&gt;=4)),
   COUNTUNIQUE(FILTER(A:A, I:I=I69))
)"),34)</f>
        <v>34</v>
      </c>
      <c r="L69" s="36"/>
      <c r="M69" s="36"/>
      <c r="N69" s="36"/>
    </row>
    <row r="70" spans="1:14" ht="15" x14ac:dyDescent="0.25">
      <c r="A70" s="33" t="s">
        <v>95</v>
      </c>
      <c r="B70" s="34">
        <v>45749</v>
      </c>
      <c r="C70" s="35" t="str">
        <f t="shared" si="3"/>
        <v>04-2025</v>
      </c>
      <c r="D70" s="36" t="s">
        <v>51</v>
      </c>
      <c r="E70" s="36" t="s">
        <v>68</v>
      </c>
      <c r="F70" s="37">
        <v>366.63</v>
      </c>
      <c r="G70" s="36" t="s">
        <v>30</v>
      </c>
      <c r="H70" s="37">
        <f t="shared" si="1"/>
        <v>1</v>
      </c>
      <c r="I70" s="37">
        <f t="shared" si="4"/>
        <v>5</v>
      </c>
      <c r="J70" s="37" t="str">
        <f>IF(COUNTIF($A$2:A70,A70)=1,"New","Repeat")</f>
        <v>Repeat</v>
      </c>
      <c r="K70" s="37">
        <f ca="1">IFERROR(__xludf.DUMMYFUNCTION("IF(I70=""4+"",
   COUNTUNIQUE(FILTER(A:A, I:I&gt;=4)),
   COUNTUNIQUE(FILTER(A:A, I:I=I70))
)"),34)</f>
        <v>34</v>
      </c>
      <c r="L70" s="36"/>
      <c r="M70" s="36"/>
      <c r="N70" s="36"/>
    </row>
    <row r="71" spans="1:14" ht="15" x14ac:dyDescent="0.25">
      <c r="A71" s="33" t="s">
        <v>105</v>
      </c>
      <c r="B71" s="34">
        <v>45749</v>
      </c>
      <c r="C71" s="35" t="str">
        <f t="shared" si="3"/>
        <v>04-2025</v>
      </c>
      <c r="D71" s="36" t="s">
        <v>14</v>
      </c>
      <c r="E71" s="36" t="s">
        <v>15</v>
      </c>
      <c r="F71" s="37">
        <v>206.96</v>
      </c>
      <c r="G71" s="36" t="s">
        <v>30</v>
      </c>
      <c r="H71" s="37">
        <f t="shared" si="1"/>
        <v>1</v>
      </c>
      <c r="I71" s="37">
        <f t="shared" si="4"/>
        <v>5</v>
      </c>
      <c r="J71" s="37" t="str">
        <f>IF(COUNTIF($A$2:A71,A71)=1,"New","Repeat")</f>
        <v>New</v>
      </c>
      <c r="K71" s="37">
        <f ca="1">IFERROR(__xludf.DUMMYFUNCTION("IF(I71=""4+"",
   COUNTUNIQUE(FILTER(A:A, I:I&gt;=4)),
   COUNTUNIQUE(FILTER(A:A, I:I=I71))
)"),34)</f>
        <v>34</v>
      </c>
      <c r="L71" s="36"/>
      <c r="M71" s="36"/>
      <c r="N71" s="36"/>
    </row>
    <row r="72" spans="1:14" ht="15" x14ac:dyDescent="0.25">
      <c r="A72" s="33" t="s">
        <v>106</v>
      </c>
      <c r="B72" s="34">
        <v>45770</v>
      </c>
      <c r="C72" s="35" t="str">
        <f t="shared" si="3"/>
        <v>04-2025</v>
      </c>
      <c r="D72" s="36" t="s">
        <v>35</v>
      </c>
      <c r="E72" s="36" t="s">
        <v>58</v>
      </c>
      <c r="F72" s="37">
        <v>410.43</v>
      </c>
      <c r="G72" s="36" t="s">
        <v>22</v>
      </c>
      <c r="H72" s="37">
        <f t="shared" si="1"/>
        <v>1</v>
      </c>
      <c r="I72" s="37">
        <f t="shared" si="4"/>
        <v>3</v>
      </c>
      <c r="J72" s="37" t="str">
        <f>IF(COUNTIF($A$2:A72,A72)=1,"New","Repeat")</f>
        <v>New</v>
      </c>
      <c r="K72" s="37">
        <f ca="1">IFERROR(__xludf.DUMMYFUNCTION("IF(I72=""4+"",
   COUNTUNIQUE(FILTER(A:A, I:I&gt;=4)),
   COUNTUNIQUE(FILTER(A:A, I:I=I72))
)"),42)</f>
        <v>42</v>
      </c>
      <c r="L72" s="36"/>
      <c r="M72" s="36"/>
      <c r="N72" s="36"/>
    </row>
    <row r="73" spans="1:14" ht="15" x14ac:dyDescent="0.25">
      <c r="A73" s="33" t="s">
        <v>107</v>
      </c>
      <c r="B73" s="34">
        <v>45822</v>
      </c>
      <c r="C73" s="35" t="str">
        <f t="shared" si="3"/>
        <v>06-2025</v>
      </c>
      <c r="D73" s="36" t="s">
        <v>14</v>
      </c>
      <c r="E73" s="36" t="s">
        <v>59</v>
      </c>
      <c r="F73" s="37">
        <v>19.809999999999999</v>
      </c>
      <c r="G73" s="36" t="s">
        <v>30</v>
      </c>
      <c r="H73" s="37">
        <f t="shared" si="1"/>
        <v>1</v>
      </c>
      <c r="I73" s="37">
        <f t="shared" si="4"/>
        <v>2</v>
      </c>
      <c r="J73" s="37" t="str">
        <f>IF(COUNTIF($A$2:A73,A73)=1,"New","Repeat")</f>
        <v>New</v>
      </c>
      <c r="K73" s="37">
        <f ca="1">IFERROR(__xludf.DUMMYFUNCTION("IF(I73=""4+"",
   COUNTUNIQUE(FILTER(A:A, I:I&gt;=4)),
   COUNTUNIQUE(FILTER(A:A, I:I=I73))
)"),37)</f>
        <v>37</v>
      </c>
      <c r="L73" s="36"/>
      <c r="M73" s="36"/>
      <c r="N73" s="36"/>
    </row>
    <row r="74" spans="1:14" ht="15" x14ac:dyDescent="0.25">
      <c r="A74" s="33" t="s">
        <v>108</v>
      </c>
      <c r="B74" s="34">
        <v>45992</v>
      </c>
      <c r="C74" s="35" t="str">
        <f t="shared" si="3"/>
        <v>12-2025</v>
      </c>
      <c r="D74" s="36" t="s">
        <v>35</v>
      </c>
      <c r="E74" s="36" t="s">
        <v>58</v>
      </c>
      <c r="F74" s="37">
        <v>372.18</v>
      </c>
      <c r="G74" s="36" t="s">
        <v>22</v>
      </c>
      <c r="H74" s="37">
        <f t="shared" si="1"/>
        <v>1</v>
      </c>
      <c r="I74" s="37">
        <f t="shared" si="4"/>
        <v>4</v>
      </c>
      <c r="J74" s="37" t="str">
        <f>IF(COUNTIF($A$2:A74,A74)=1,"New","Repeat")</f>
        <v>New</v>
      </c>
      <c r="K74" s="37">
        <f ca="1">IFERROR(__xludf.DUMMYFUNCTION("IF(I74=""4+"",
   COUNTUNIQUE(FILTER(A:A, I:I&gt;=4)),
   COUNTUNIQUE(FILTER(A:A, I:I=I74))
)"),32)</f>
        <v>32</v>
      </c>
      <c r="L74" s="36"/>
      <c r="M74" s="36"/>
      <c r="N74" s="36"/>
    </row>
    <row r="75" spans="1:14" ht="15" x14ac:dyDescent="0.25">
      <c r="A75" s="33" t="s">
        <v>92</v>
      </c>
      <c r="B75" s="34">
        <v>45759</v>
      </c>
      <c r="C75" s="35" t="str">
        <f t="shared" si="3"/>
        <v>04-2025</v>
      </c>
      <c r="D75" s="36" t="s">
        <v>18</v>
      </c>
      <c r="E75" s="36" t="s">
        <v>65</v>
      </c>
      <c r="F75" s="37">
        <v>182.25</v>
      </c>
      <c r="G75" s="36" t="s">
        <v>70</v>
      </c>
      <c r="H75" s="37">
        <f t="shared" si="1"/>
        <v>1</v>
      </c>
      <c r="I75" s="37">
        <f t="shared" si="4"/>
        <v>6</v>
      </c>
      <c r="J75" s="37" t="str">
        <f>IF(COUNTIF($A$2:A75,A75)=1,"New","Repeat")</f>
        <v>Repeat</v>
      </c>
      <c r="K75" s="37">
        <f ca="1">IFERROR(__xludf.DUMMYFUNCTION("IF(I75=""4+"",
   COUNTUNIQUE(FILTER(A:A, I:I&gt;=4)),
   COUNTUNIQUE(FILTER(A:A, I:I=I75))
)"),19)</f>
        <v>19</v>
      </c>
      <c r="L75" s="36"/>
      <c r="M75" s="36"/>
      <c r="N75" s="36"/>
    </row>
    <row r="76" spans="1:14" ht="15" x14ac:dyDescent="0.25">
      <c r="A76" s="33" t="s">
        <v>31</v>
      </c>
      <c r="B76" s="34">
        <v>45863</v>
      </c>
      <c r="C76" s="35" t="str">
        <f t="shared" si="3"/>
        <v>07-2025</v>
      </c>
      <c r="D76" s="36" t="s">
        <v>28</v>
      </c>
      <c r="E76" s="36" t="s">
        <v>87</v>
      </c>
      <c r="F76" s="37">
        <v>394.2</v>
      </c>
      <c r="G76" s="36" t="s">
        <v>70</v>
      </c>
      <c r="H76" s="37">
        <f t="shared" si="1"/>
        <v>1</v>
      </c>
      <c r="I76" s="37">
        <f t="shared" si="4"/>
        <v>5</v>
      </c>
      <c r="J76" s="37" t="str">
        <f>IF(COUNTIF($A$2:A76,A76)=1,"New","Repeat")</f>
        <v>Repeat</v>
      </c>
      <c r="K76" s="37">
        <f ca="1">IFERROR(__xludf.DUMMYFUNCTION("IF(I76=""4+"",
   COUNTUNIQUE(FILTER(A:A, I:I&gt;=4)),
   COUNTUNIQUE(FILTER(A:A, I:I=I76))
)"),34)</f>
        <v>34</v>
      </c>
      <c r="L76" s="36"/>
      <c r="M76" s="36"/>
      <c r="N76" s="36"/>
    </row>
    <row r="77" spans="1:14" ht="15" x14ac:dyDescent="0.25">
      <c r="A77" s="33" t="s">
        <v>109</v>
      </c>
      <c r="B77" s="34">
        <v>45907</v>
      </c>
      <c r="C77" s="35" t="str">
        <f t="shared" si="3"/>
        <v>09-2025</v>
      </c>
      <c r="D77" s="36" t="s">
        <v>18</v>
      </c>
      <c r="E77" s="36" t="s">
        <v>47</v>
      </c>
      <c r="F77" s="37">
        <v>336.64</v>
      </c>
      <c r="G77" s="36" t="s">
        <v>37</v>
      </c>
      <c r="H77" s="37">
        <f t="shared" si="1"/>
        <v>1</v>
      </c>
      <c r="I77" s="37">
        <f t="shared" si="4"/>
        <v>2</v>
      </c>
      <c r="J77" s="37" t="str">
        <f>IF(COUNTIF($A$2:A77,A77)=1,"New","Repeat")</f>
        <v>New</v>
      </c>
      <c r="K77" s="37">
        <f ca="1">IFERROR(__xludf.DUMMYFUNCTION("IF(I77=""4+"",
   COUNTUNIQUE(FILTER(A:A, I:I&gt;=4)),
   COUNTUNIQUE(FILTER(A:A, I:I=I77))
)"),37)</f>
        <v>37</v>
      </c>
      <c r="L77" s="36"/>
      <c r="M77" s="36"/>
      <c r="N77" s="36"/>
    </row>
    <row r="78" spans="1:14" ht="15" x14ac:dyDescent="0.25">
      <c r="A78" s="33" t="s">
        <v>110</v>
      </c>
      <c r="B78" s="34">
        <v>45817</v>
      </c>
      <c r="C78" s="35" t="str">
        <f t="shared" si="3"/>
        <v>06-2025</v>
      </c>
      <c r="D78" s="36" t="s">
        <v>28</v>
      </c>
      <c r="E78" s="36" t="s">
        <v>87</v>
      </c>
      <c r="F78" s="37">
        <v>166.19</v>
      </c>
      <c r="G78" s="36" t="s">
        <v>16</v>
      </c>
      <c r="H78" s="37">
        <f t="shared" si="1"/>
        <v>1</v>
      </c>
      <c r="I78" s="37">
        <f t="shared" si="4"/>
        <v>4</v>
      </c>
      <c r="J78" s="37" t="str">
        <f>IF(COUNTIF($A$2:A78,A78)=1,"New","Repeat")</f>
        <v>New</v>
      </c>
      <c r="K78" s="37">
        <f ca="1">IFERROR(__xludf.DUMMYFUNCTION("IF(I78=""4+"",
   COUNTUNIQUE(FILTER(A:A, I:I&gt;=4)),
   COUNTUNIQUE(FILTER(A:A, I:I=I78))
)"),32)</f>
        <v>32</v>
      </c>
      <c r="L78" s="36"/>
      <c r="M78" s="36"/>
      <c r="N78" s="36"/>
    </row>
    <row r="79" spans="1:14" ht="15" x14ac:dyDescent="0.25">
      <c r="A79" s="33" t="s">
        <v>111</v>
      </c>
      <c r="B79" s="34">
        <v>46041</v>
      </c>
      <c r="C79" s="35" t="str">
        <f t="shared" si="3"/>
        <v>01-2026</v>
      </c>
      <c r="D79" s="36" t="s">
        <v>14</v>
      </c>
      <c r="E79" s="36" t="s">
        <v>59</v>
      </c>
      <c r="F79" s="37">
        <v>272.55</v>
      </c>
      <c r="G79" s="36" t="s">
        <v>33</v>
      </c>
      <c r="H79" s="37">
        <f t="shared" si="1"/>
        <v>1</v>
      </c>
      <c r="I79" s="37">
        <f t="shared" si="4"/>
        <v>2</v>
      </c>
      <c r="J79" s="37" t="str">
        <f>IF(COUNTIF($A$2:A79,A79)=1,"New","Repeat")</f>
        <v>New</v>
      </c>
      <c r="K79" s="37">
        <f ca="1">IFERROR(__xludf.DUMMYFUNCTION("IF(I79=""4+"",
   COUNTUNIQUE(FILTER(A:A, I:I&gt;=4)),
   COUNTUNIQUE(FILTER(A:A, I:I=I79))
)"),37)</f>
        <v>37</v>
      </c>
      <c r="L79" s="36"/>
      <c r="M79" s="36"/>
      <c r="N79" s="36"/>
    </row>
    <row r="80" spans="1:14" ht="15" x14ac:dyDescent="0.25">
      <c r="A80" s="33" t="s">
        <v>57</v>
      </c>
      <c r="B80" s="34">
        <v>45993</v>
      </c>
      <c r="C80" s="35" t="str">
        <f t="shared" si="3"/>
        <v>12-2025</v>
      </c>
      <c r="D80" s="36" t="s">
        <v>35</v>
      </c>
      <c r="E80" s="36" t="s">
        <v>54</v>
      </c>
      <c r="F80" s="37">
        <v>413.14</v>
      </c>
      <c r="G80" s="36" t="s">
        <v>33</v>
      </c>
      <c r="H80" s="37">
        <f t="shared" si="1"/>
        <v>1</v>
      </c>
      <c r="I80" s="37">
        <f t="shared" si="4"/>
        <v>3</v>
      </c>
      <c r="J80" s="37" t="str">
        <f>IF(COUNTIF($A$2:A80,A80)=1,"New","Repeat")</f>
        <v>Repeat</v>
      </c>
      <c r="K80" s="37">
        <f ca="1">IFERROR(__xludf.DUMMYFUNCTION("IF(I80=""4+"",
   COUNTUNIQUE(FILTER(A:A, I:I&gt;=4)),
   COUNTUNIQUE(FILTER(A:A, I:I=I80))
)"),42)</f>
        <v>42</v>
      </c>
      <c r="L80" s="36"/>
      <c r="M80" s="36"/>
      <c r="N80" s="36"/>
    </row>
    <row r="81" spans="1:14" ht="15" x14ac:dyDescent="0.25">
      <c r="A81" s="33" t="s">
        <v>112</v>
      </c>
      <c r="B81" s="34">
        <v>45779</v>
      </c>
      <c r="C81" s="35" t="str">
        <f t="shared" si="3"/>
        <v>05-2025</v>
      </c>
      <c r="D81" s="36" t="s">
        <v>35</v>
      </c>
      <c r="E81" s="36" t="s">
        <v>39</v>
      </c>
      <c r="F81" s="37">
        <v>142.74</v>
      </c>
      <c r="G81" s="36" t="s">
        <v>22</v>
      </c>
      <c r="H81" s="37">
        <f t="shared" si="1"/>
        <v>1</v>
      </c>
      <c r="I81" s="37">
        <f t="shared" si="4"/>
        <v>2</v>
      </c>
      <c r="J81" s="37" t="str">
        <f>IF(COUNTIF($A$2:A81,A81)=1,"New","Repeat")</f>
        <v>New</v>
      </c>
      <c r="K81" s="37">
        <f ca="1">IFERROR(__xludf.DUMMYFUNCTION("IF(I81=""4+"",
   COUNTUNIQUE(FILTER(A:A, I:I&gt;=4)),
   COUNTUNIQUE(FILTER(A:A, I:I=I81))
)"),37)</f>
        <v>37</v>
      </c>
      <c r="L81" s="36"/>
      <c r="M81" s="36"/>
      <c r="N81" s="36"/>
    </row>
    <row r="82" spans="1:14" ht="15" x14ac:dyDescent="0.25">
      <c r="A82" s="33" t="s">
        <v>113</v>
      </c>
      <c r="B82" s="34">
        <v>46039</v>
      </c>
      <c r="C82" s="35" t="str">
        <f t="shared" si="3"/>
        <v>01-2026</v>
      </c>
      <c r="D82" s="36" t="s">
        <v>51</v>
      </c>
      <c r="E82" s="36" t="s">
        <v>72</v>
      </c>
      <c r="F82" s="37">
        <v>176.78</v>
      </c>
      <c r="G82" s="36" t="s">
        <v>25</v>
      </c>
      <c r="H82" s="37">
        <f t="shared" si="1"/>
        <v>1</v>
      </c>
      <c r="I82" s="37">
        <f t="shared" si="4"/>
        <v>3</v>
      </c>
      <c r="J82" s="37" t="str">
        <f>IF(COUNTIF($A$2:A82,A82)=1,"New","Repeat")</f>
        <v>New</v>
      </c>
      <c r="K82" s="37">
        <f ca="1">IFERROR(__xludf.DUMMYFUNCTION("IF(I82=""4+"",
   COUNTUNIQUE(FILTER(A:A, I:I&gt;=4)),
   COUNTUNIQUE(FILTER(A:A, I:I=I82))
)"),42)</f>
        <v>42</v>
      </c>
      <c r="L82" s="36"/>
      <c r="M82" s="36"/>
      <c r="N82" s="36"/>
    </row>
    <row r="83" spans="1:14" ht="15" x14ac:dyDescent="0.25">
      <c r="A83" s="33" t="s">
        <v>81</v>
      </c>
      <c r="B83" s="34">
        <v>46035</v>
      </c>
      <c r="C83" s="35" t="str">
        <f t="shared" si="3"/>
        <v>01-2026</v>
      </c>
      <c r="D83" s="36" t="s">
        <v>28</v>
      </c>
      <c r="E83" s="36" t="s">
        <v>87</v>
      </c>
      <c r="F83" s="37">
        <v>229.67</v>
      </c>
      <c r="G83" s="36" t="s">
        <v>70</v>
      </c>
      <c r="H83" s="37">
        <f t="shared" si="1"/>
        <v>1</v>
      </c>
      <c r="I83" s="37">
        <f t="shared" si="4"/>
        <v>10</v>
      </c>
      <c r="J83" s="37" t="str">
        <f>IF(COUNTIF($A$2:A83,A83)=1,"New","Repeat")</f>
        <v>Repeat</v>
      </c>
      <c r="K83" s="37">
        <f ca="1">IFERROR(__xludf.DUMMYFUNCTION("IF(I83=""4+"",
   COUNTUNIQUE(FILTER(A:A, I:I&gt;=4)),
   COUNTUNIQUE(FILTER(A:A, I:I=I83))
)"),1)</f>
        <v>1</v>
      </c>
      <c r="L83" s="36"/>
      <c r="M83" s="36"/>
      <c r="N83" s="36"/>
    </row>
    <row r="84" spans="1:14" ht="15" x14ac:dyDescent="0.25">
      <c r="A84" s="33" t="s">
        <v>114</v>
      </c>
      <c r="B84" s="34">
        <v>45896</v>
      </c>
      <c r="C84" s="35" t="str">
        <f t="shared" si="3"/>
        <v>08-2025</v>
      </c>
      <c r="D84" s="36" t="s">
        <v>28</v>
      </c>
      <c r="E84" s="36" t="s">
        <v>87</v>
      </c>
      <c r="F84" s="37">
        <v>61.18</v>
      </c>
      <c r="G84" s="36" t="s">
        <v>25</v>
      </c>
      <c r="H84" s="37">
        <f t="shared" si="1"/>
        <v>1</v>
      </c>
      <c r="I84" s="37">
        <f t="shared" si="4"/>
        <v>3</v>
      </c>
      <c r="J84" s="37" t="str">
        <f>IF(COUNTIF($A$2:A84,A84)=1,"New","Repeat")</f>
        <v>New</v>
      </c>
      <c r="K84" s="37">
        <f ca="1">IFERROR(__xludf.DUMMYFUNCTION("IF(I84=""4+"",
   COUNTUNIQUE(FILTER(A:A, I:I&gt;=4)),
   COUNTUNIQUE(FILTER(A:A, I:I=I84))
)"),42)</f>
        <v>42</v>
      </c>
      <c r="L84" s="36"/>
      <c r="M84" s="36"/>
      <c r="N84" s="36"/>
    </row>
    <row r="85" spans="1:14" ht="15" x14ac:dyDescent="0.25">
      <c r="A85" s="33" t="s">
        <v>115</v>
      </c>
      <c r="B85" s="34">
        <v>45927</v>
      </c>
      <c r="C85" s="35" t="str">
        <f t="shared" si="3"/>
        <v>09-2025</v>
      </c>
      <c r="D85" s="36" t="s">
        <v>18</v>
      </c>
      <c r="E85" s="36" t="s">
        <v>24</v>
      </c>
      <c r="F85" s="37">
        <v>203.03</v>
      </c>
      <c r="G85" s="36" t="s">
        <v>37</v>
      </c>
      <c r="H85" s="37">
        <f t="shared" si="1"/>
        <v>1</v>
      </c>
      <c r="I85" s="37">
        <f t="shared" si="4"/>
        <v>4</v>
      </c>
      <c r="J85" s="37" t="str">
        <f>IF(COUNTIF($A$2:A85,A85)=1,"New","Repeat")</f>
        <v>New</v>
      </c>
      <c r="K85" s="37">
        <f ca="1">IFERROR(__xludf.DUMMYFUNCTION("IF(I85=""4+"",
   COUNTUNIQUE(FILTER(A:A, I:I&gt;=4)),
   COUNTUNIQUE(FILTER(A:A, I:I=I85))
)"),32)</f>
        <v>32</v>
      </c>
      <c r="L85" s="36"/>
      <c r="M85" s="36"/>
      <c r="N85" s="36"/>
    </row>
    <row r="86" spans="1:14" ht="15" x14ac:dyDescent="0.25">
      <c r="A86" s="33" t="s">
        <v>86</v>
      </c>
      <c r="B86" s="34">
        <v>45728</v>
      </c>
      <c r="C86" s="35" t="str">
        <f t="shared" si="3"/>
        <v>03-2025</v>
      </c>
      <c r="D86" s="36" t="s">
        <v>35</v>
      </c>
      <c r="E86" s="36" t="s">
        <v>39</v>
      </c>
      <c r="F86" s="37">
        <v>119.44</v>
      </c>
      <c r="G86" s="36" t="s">
        <v>33</v>
      </c>
      <c r="H86" s="37">
        <f t="shared" si="1"/>
        <v>1</v>
      </c>
      <c r="I86" s="37">
        <f t="shared" si="4"/>
        <v>7</v>
      </c>
      <c r="J86" s="37" t="str">
        <f>IF(COUNTIF($A$2:A86,A86)=1,"New","Repeat")</f>
        <v>Repeat</v>
      </c>
      <c r="K86" s="37">
        <f ca="1">IFERROR(__xludf.DUMMYFUNCTION("IF(I86=""4+"",
   COUNTUNIQUE(FILTER(A:A, I:I&gt;=4)),
   COUNTUNIQUE(FILTER(A:A, I:I=I86))
)"),4)</f>
        <v>4</v>
      </c>
      <c r="L86" s="36"/>
      <c r="M86" s="36"/>
      <c r="N86" s="36"/>
    </row>
    <row r="87" spans="1:14" ht="15" x14ac:dyDescent="0.25">
      <c r="A87" s="33" t="s">
        <v>116</v>
      </c>
      <c r="B87" s="34">
        <v>45867</v>
      </c>
      <c r="C87" s="35" t="str">
        <f t="shared" si="3"/>
        <v>07-2025</v>
      </c>
      <c r="D87" s="36" t="s">
        <v>18</v>
      </c>
      <c r="E87" s="36" t="s">
        <v>24</v>
      </c>
      <c r="F87" s="37">
        <v>150.44</v>
      </c>
      <c r="G87" s="36" t="s">
        <v>16</v>
      </c>
      <c r="H87" s="37">
        <f t="shared" si="1"/>
        <v>1</v>
      </c>
      <c r="I87" s="37">
        <f t="shared" si="4"/>
        <v>7</v>
      </c>
      <c r="J87" s="37" t="str">
        <f>IF(COUNTIF($A$2:A87,A87)=1,"New","Repeat")</f>
        <v>New</v>
      </c>
      <c r="K87" s="37">
        <f ca="1">IFERROR(__xludf.DUMMYFUNCTION("IF(I87=""4+"",
   COUNTUNIQUE(FILTER(A:A, I:I&gt;=4)),
   COUNTUNIQUE(FILTER(A:A, I:I=I87))
)"),4)</f>
        <v>4</v>
      </c>
      <c r="L87" s="36"/>
      <c r="M87" s="36"/>
      <c r="N87" s="36"/>
    </row>
    <row r="88" spans="1:14" ht="15" x14ac:dyDescent="0.25">
      <c r="A88" s="33" t="s">
        <v>117</v>
      </c>
      <c r="B88" s="34">
        <v>45881</v>
      </c>
      <c r="C88" s="35" t="str">
        <f t="shared" si="3"/>
        <v>08-2025</v>
      </c>
      <c r="D88" s="36" t="s">
        <v>28</v>
      </c>
      <c r="E88" s="36" t="s">
        <v>43</v>
      </c>
      <c r="F88" s="37">
        <v>494.26</v>
      </c>
      <c r="G88" s="36" t="s">
        <v>70</v>
      </c>
      <c r="H88" s="37">
        <f t="shared" si="1"/>
        <v>1</v>
      </c>
      <c r="I88" s="37">
        <f t="shared" si="4"/>
        <v>3</v>
      </c>
      <c r="J88" s="37" t="str">
        <f>IF(COUNTIF($A$2:A88,A88)=1,"New","Repeat")</f>
        <v>New</v>
      </c>
      <c r="K88" s="37">
        <f ca="1">IFERROR(__xludf.DUMMYFUNCTION("IF(I88=""4+"",
   COUNTUNIQUE(FILTER(A:A, I:I&gt;=4)),
   COUNTUNIQUE(FILTER(A:A, I:I=I88))
)"),42)</f>
        <v>42</v>
      </c>
      <c r="L88" s="36"/>
      <c r="M88" s="36"/>
      <c r="N88" s="36"/>
    </row>
    <row r="89" spans="1:14" ht="15" x14ac:dyDescent="0.25">
      <c r="A89" s="33" t="s">
        <v>116</v>
      </c>
      <c r="B89" s="39">
        <v>45991</v>
      </c>
      <c r="C89" s="35" t="str">
        <f t="shared" si="3"/>
        <v>11-2025</v>
      </c>
      <c r="D89" s="36" t="s">
        <v>51</v>
      </c>
      <c r="E89" s="36" t="s">
        <v>68</v>
      </c>
      <c r="F89" s="37">
        <v>217.16</v>
      </c>
      <c r="G89" s="36" t="s">
        <v>25</v>
      </c>
      <c r="H89" s="37">
        <f t="shared" si="1"/>
        <v>1</v>
      </c>
      <c r="I89" s="37">
        <f t="shared" si="4"/>
        <v>7</v>
      </c>
      <c r="J89" s="37" t="str">
        <f>IF(COUNTIF($A$2:A89,A89)=1,"New","Repeat")</f>
        <v>Repeat</v>
      </c>
      <c r="K89" s="37">
        <f ca="1">IFERROR(__xludf.DUMMYFUNCTION("IF(I89=""4+"",
   COUNTUNIQUE(FILTER(A:A, I:I&gt;=4)),
   COUNTUNIQUE(FILTER(A:A, I:I=I89))
)"),4)</f>
        <v>4</v>
      </c>
      <c r="L89" s="36"/>
      <c r="M89" s="36"/>
      <c r="N89" s="36"/>
    </row>
    <row r="90" spans="1:14" ht="15" x14ac:dyDescent="0.25">
      <c r="A90" s="33" t="s">
        <v>118</v>
      </c>
      <c r="B90" s="39">
        <v>45952</v>
      </c>
      <c r="C90" s="35" t="str">
        <f t="shared" si="3"/>
        <v>10-2025</v>
      </c>
      <c r="D90" s="36" t="s">
        <v>18</v>
      </c>
      <c r="E90" s="36" t="s">
        <v>24</v>
      </c>
      <c r="F90" s="37">
        <v>468.53</v>
      </c>
      <c r="G90" s="36" t="s">
        <v>22</v>
      </c>
      <c r="H90" s="37">
        <f t="shared" si="1"/>
        <v>1</v>
      </c>
      <c r="I90" s="37">
        <f t="shared" si="4"/>
        <v>5</v>
      </c>
      <c r="J90" s="37" t="str">
        <f>IF(COUNTIF($A$2:A90,A90)=1,"New","Repeat")</f>
        <v>New</v>
      </c>
      <c r="K90" s="37">
        <f ca="1">IFERROR(__xludf.DUMMYFUNCTION("IF(I90=""4+"",
   COUNTUNIQUE(FILTER(A:A, I:I&gt;=4)),
   COUNTUNIQUE(FILTER(A:A, I:I=I90))
)"),34)</f>
        <v>34</v>
      </c>
      <c r="L90" s="36"/>
      <c r="M90" s="36"/>
      <c r="N90" s="36"/>
    </row>
    <row r="91" spans="1:14" ht="15" x14ac:dyDescent="0.25">
      <c r="A91" s="33" t="s">
        <v>119</v>
      </c>
      <c r="B91" s="39">
        <v>45960</v>
      </c>
      <c r="C91" s="35" t="str">
        <f t="shared" si="3"/>
        <v>10-2025</v>
      </c>
      <c r="D91" s="36" t="s">
        <v>14</v>
      </c>
      <c r="E91" s="36" t="s">
        <v>96</v>
      </c>
      <c r="F91" s="37">
        <v>110.73</v>
      </c>
      <c r="G91" s="36" t="s">
        <v>70</v>
      </c>
      <c r="H91" s="37">
        <f t="shared" si="1"/>
        <v>1</v>
      </c>
      <c r="I91" s="37">
        <f t="shared" si="4"/>
        <v>6</v>
      </c>
      <c r="J91" s="37" t="str">
        <f>IF(COUNTIF($A$2:A91,A91)=1,"New","Repeat")</f>
        <v>New</v>
      </c>
      <c r="K91" s="37">
        <f ca="1">IFERROR(__xludf.DUMMYFUNCTION("IF(I91=""4+"",
   COUNTUNIQUE(FILTER(A:A, I:I&gt;=4)),
   COUNTUNIQUE(FILTER(A:A, I:I=I91))
)"),19)</f>
        <v>19</v>
      </c>
      <c r="L91" s="36"/>
      <c r="M91" s="36"/>
      <c r="N91" s="36"/>
    </row>
    <row r="92" spans="1:14" ht="15" x14ac:dyDescent="0.25">
      <c r="A92" s="33" t="s">
        <v>120</v>
      </c>
      <c r="B92" s="34">
        <v>45714</v>
      </c>
      <c r="C92" s="35" t="str">
        <f t="shared" si="3"/>
        <v>02-2025</v>
      </c>
      <c r="D92" s="36" t="s">
        <v>35</v>
      </c>
      <c r="E92" s="36" t="s">
        <v>93</v>
      </c>
      <c r="F92" s="37">
        <v>101.45</v>
      </c>
      <c r="G92" s="36" t="s">
        <v>16</v>
      </c>
      <c r="H92" s="37">
        <f t="shared" si="1"/>
        <v>1</v>
      </c>
      <c r="I92" s="37">
        <f t="shared" si="4"/>
        <v>5</v>
      </c>
      <c r="J92" s="37" t="str">
        <f>IF(COUNTIF($A$2:A92,A92)=1,"New","Repeat")</f>
        <v>New</v>
      </c>
      <c r="K92" s="37">
        <f ca="1">IFERROR(__xludf.DUMMYFUNCTION("IF(I92=""4+"",
   COUNTUNIQUE(FILTER(A:A, I:I&gt;=4)),
   COUNTUNIQUE(FILTER(A:A, I:I=I92))
)"),34)</f>
        <v>34</v>
      </c>
      <c r="L92" s="36"/>
      <c r="M92" s="36"/>
      <c r="N92" s="36"/>
    </row>
    <row r="93" spans="1:14" ht="15" x14ac:dyDescent="0.25">
      <c r="A93" s="33" t="s">
        <v>121</v>
      </c>
      <c r="B93" s="34">
        <v>45754</v>
      </c>
      <c r="C93" s="35" t="str">
        <f t="shared" si="3"/>
        <v>04-2025</v>
      </c>
      <c r="D93" s="36" t="s">
        <v>28</v>
      </c>
      <c r="E93" s="36" t="s">
        <v>74</v>
      </c>
      <c r="F93" s="37">
        <v>122.61</v>
      </c>
      <c r="G93" s="36" t="s">
        <v>22</v>
      </c>
      <c r="H93" s="37">
        <f t="shared" si="1"/>
        <v>1</v>
      </c>
      <c r="I93" s="37">
        <f t="shared" si="4"/>
        <v>5</v>
      </c>
      <c r="J93" s="37" t="str">
        <f>IF(COUNTIF($A$2:A93,A93)=1,"New","Repeat")</f>
        <v>New</v>
      </c>
      <c r="K93" s="37">
        <f ca="1">IFERROR(__xludf.DUMMYFUNCTION("IF(I93=""4+"",
   COUNTUNIQUE(FILTER(A:A, I:I&gt;=4)),
   COUNTUNIQUE(FILTER(A:A, I:I=I93))
)"),34)</f>
        <v>34</v>
      </c>
      <c r="L93" s="36"/>
      <c r="M93" s="36"/>
      <c r="N93" s="36"/>
    </row>
    <row r="94" spans="1:14" ht="15" x14ac:dyDescent="0.25">
      <c r="A94" s="33" t="s">
        <v>67</v>
      </c>
      <c r="B94" s="34">
        <v>45731</v>
      </c>
      <c r="C94" s="35" t="str">
        <f t="shared" si="3"/>
        <v>03-2025</v>
      </c>
      <c r="D94" s="36" t="s">
        <v>35</v>
      </c>
      <c r="E94" s="36" t="s">
        <v>58</v>
      </c>
      <c r="F94" s="37">
        <v>198.81</v>
      </c>
      <c r="G94" s="36" t="s">
        <v>33</v>
      </c>
      <c r="H94" s="37">
        <f t="shared" si="1"/>
        <v>1</v>
      </c>
      <c r="I94" s="37">
        <f t="shared" si="4"/>
        <v>7</v>
      </c>
      <c r="J94" s="37" t="str">
        <f>IF(COUNTIF($A$2:A94,A94)=1,"New","Repeat")</f>
        <v>Repeat</v>
      </c>
      <c r="K94" s="37">
        <f ca="1">IFERROR(__xludf.DUMMYFUNCTION("IF(I94=""4+"",
   COUNTUNIQUE(FILTER(A:A, I:I&gt;=4)),
   COUNTUNIQUE(FILTER(A:A, I:I=I94))
)"),4)</f>
        <v>4</v>
      </c>
      <c r="L94" s="36"/>
      <c r="M94" s="36"/>
      <c r="N94" s="36"/>
    </row>
    <row r="95" spans="1:14" ht="15" x14ac:dyDescent="0.25">
      <c r="A95" s="33" t="s">
        <v>122</v>
      </c>
      <c r="B95" s="34">
        <v>45843</v>
      </c>
      <c r="C95" s="35" t="str">
        <f t="shared" si="3"/>
        <v>07-2025</v>
      </c>
      <c r="D95" s="36" t="s">
        <v>35</v>
      </c>
      <c r="E95" s="36" t="s">
        <v>39</v>
      </c>
      <c r="F95" s="37">
        <v>350.08</v>
      </c>
      <c r="G95" s="36" t="s">
        <v>25</v>
      </c>
      <c r="H95" s="37">
        <f t="shared" si="1"/>
        <v>1</v>
      </c>
      <c r="I95" s="37">
        <f t="shared" si="4"/>
        <v>5</v>
      </c>
      <c r="J95" s="37" t="str">
        <f>IF(COUNTIF($A$2:A95,A95)=1,"New","Repeat")</f>
        <v>New</v>
      </c>
      <c r="K95" s="37">
        <f ca="1">IFERROR(__xludf.DUMMYFUNCTION("IF(I95=""4+"",
   COUNTUNIQUE(FILTER(A:A, I:I&gt;=4)),
   COUNTUNIQUE(FILTER(A:A, I:I=I95))
)"),34)</f>
        <v>34</v>
      </c>
      <c r="L95" s="36"/>
      <c r="M95" s="36"/>
      <c r="N95" s="36"/>
    </row>
    <row r="96" spans="1:14" ht="15" x14ac:dyDescent="0.25">
      <c r="A96" s="33" t="s">
        <v>123</v>
      </c>
      <c r="B96" s="34">
        <v>45909</v>
      </c>
      <c r="C96" s="35" t="str">
        <f t="shared" si="3"/>
        <v>09-2025</v>
      </c>
      <c r="D96" s="36" t="s">
        <v>28</v>
      </c>
      <c r="E96" s="36" t="s">
        <v>45</v>
      </c>
      <c r="F96" s="37">
        <v>170.16</v>
      </c>
      <c r="G96" s="36" t="s">
        <v>30</v>
      </c>
      <c r="H96" s="37">
        <f t="shared" si="1"/>
        <v>1</v>
      </c>
      <c r="I96" s="37">
        <f t="shared" si="4"/>
        <v>4</v>
      </c>
      <c r="J96" s="37" t="str">
        <f>IF(COUNTIF($A$2:A96,A96)=1,"New","Repeat")</f>
        <v>New</v>
      </c>
      <c r="K96" s="37">
        <f ca="1">IFERROR(__xludf.DUMMYFUNCTION("IF(I96=""4+"",
   COUNTUNIQUE(FILTER(A:A, I:I&gt;=4)),
   COUNTUNIQUE(FILTER(A:A, I:I=I96))
)"),32)</f>
        <v>32</v>
      </c>
      <c r="L96" s="36"/>
      <c r="M96" s="36"/>
      <c r="N96" s="36"/>
    </row>
    <row r="97" spans="1:14" ht="15" x14ac:dyDescent="0.25">
      <c r="A97" s="33" t="s">
        <v>124</v>
      </c>
      <c r="B97" s="34">
        <v>45733</v>
      </c>
      <c r="C97" s="35" t="str">
        <f t="shared" si="3"/>
        <v>03-2025</v>
      </c>
      <c r="D97" s="36" t="s">
        <v>14</v>
      </c>
      <c r="E97" s="36" t="s">
        <v>59</v>
      </c>
      <c r="F97" s="37">
        <v>94.81</v>
      </c>
      <c r="G97" s="36" t="s">
        <v>16</v>
      </c>
      <c r="H97" s="37">
        <f t="shared" si="1"/>
        <v>0</v>
      </c>
      <c r="I97" s="37">
        <f t="shared" si="4"/>
        <v>1</v>
      </c>
      <c r="J97" s="37" t="str">
        <f>IF(COUNTIF($A$2:A97,A97)=1,"New","Repeat")</f>
        <v>New</v>
      </c>
      <c r="K97" s="37">
        <f ca="1">IFERROR(__xludf.DUMMYFUNCTION("IF(I97=""4+"",
   COUNTUNIQUE(FILTER(A:A, I:I&gt;=4)),
   COUNTUNIQUE(FILTER(A:A, I:I=I97))
)"),24)</f>
        <v>24</v>
      </c>
      <c r="L97" s="36"/>
      <c r="M97" s="36"/>
      <c r="N97" s="36"/>
    </row>
    <row r="98" spans="1:14" ht="15" x14ac:dyDescent="0.25">
      <c r="A98" s="33" t="s">
        <v>63</v>
      </c>
      <c r="B98" s="34">
        <v>45804</v>
      </c>
      <c r="C98" s="35" t="str">
        <f t="shared" si="3"/>
        <v>05-2025</v>
      </c>
      <c r="D98" s="36" t="s">
        <v>35</v>
      </c>
      <c r="E98" s="36" t="s">
        <v>54</v>
      </c>
      <c r="F98" s="37">
        <v>398.3</v>
      </c>
      <c r="G98" s="36" t="s">
        <v>37</v>
      </c>
      <c r="H98" s="37">
        <f t="shared" si="1"/>
        <v>1</v>
      </c>
      <c r="I98" s="37">
        <f t="shared" si="4"/>
        <v>6</v>
      </c>
      <c r="J98" s="37" t="str">
        <f>IF(COUNTIF($A$2:A98,A98)=1,"New","Repeat")</f>
        <v>Repeat</v>
      </c>
      <c r="K98" s="37">
        <f ca="1">IFERROR(__xludf.DUMMYFUNCTION("IF(I98=""4+"",
   COUNTUNIQUE(FILTER(A:A, I:I&gt;=4)),
   COUNTUNIQUE(FILTER(A:A, I:I=I98))
)"),19)</f>
        <v>19</v>
      </c>
      <c r="L98" s="36"/>
      <c r="M98" s="36"/>
      <c r="N98" s="36"/>
    </row>
    <row r="99" spans="1:14" ht="15" x14ac:dyDescent="0.25">
      <c r="A99" s="33" t="s">
        <v>125</v>
      </c>
      <c r="B99" s="39">
        <v>46003</v>
      </c>
      <c r="C99" s="35" t="str">
        <f t="shared" si="3"/>
        <v>12-2025</v>
      </c>
      <c r="D99" s="36" t="s">
        <v>14</v>
      </c>
      <c r="E99" s="36" t="s">
        <v>15</v>
      </c>
      <c r="F99" s="37">
        <v>468.62</v>
      </c>
      <c r="G99" s="36" t="s">
        <v>25</v>
      </c>
      <c r="H99" s="37">
        <f t="shared" si="1"/>
        <v>1</v>
      </c>
      <c r="I99" s="37">
        <f t="shared" si="4"/>
        <v>5</v>
      </c>
      <c r="J99" s="37" t="str">
        <f>IF(COUNTIF($A$2:A99,A99)=1,"New","Repeat")</f>
        <v>New</v>
      </c>
      <c r="K99" s="37">
        <f ca="1">IFERROR(__xludf.DUMMYFUNCTION("IF(I99=""4+"",
   COUNTUNIQUE(FILTER(A:A, I:I&gt;=4)),
   COUNTUNIQUE(FILTER(A:A, I:I=I99))
)"),34)</f>
        <v>34</v>
      </c>
      <c r="L99" s="36"/>
      <c r="M99" s="36"/>
      <c r="N99" s="36"/>
    </row>
    <row r="100" spans="1:14" ht="15" x14ac:dyDescent="0.25">
      <c r="A100" s="33" t="s">
        <v>95</v>
      </c>
      <c r="B100" s="34">
        <v>45889</v>
      </c>
      <c r="C100" s="35" t="str">
        <f t="shared" si="3"/>
        <v>08-2025</v>
      </c>
      <c r="D100" s="36" t="s">
        <v>51</v>
      </c>
      <c r="E100" s="36" t="s">
        <v>52</v>
      </c>
      <c r="F100" s="37">
        <v>27.69</v>
      </c>
      <c r="G100" s="36" t="s">
        <v>30</v>
      </c>
      <c r="H100" s="37">
        <f t="shared" si="1"/>
        <v>1</v>
      </c>
      <c r="I100" s="37">
        <f t="shared" si="4"/>
        <v>5</v>
      </c>
      <c r="J100" s="37" t="str">
        <f>IF(COUNTIF($A$2:A100,A100)=1,"New","Repeat")</f>
        <v>Repeat</v>
      </c>
      <c r="K100" s="37">
        <f ca="1">IFERROR(__xludf.DUMMYFUNCTION("IF(I100=""4+"",
   COUNTUNIQUE(FILTER(A:A, I:I&gt;=4)),
   COUNTUNIQUE(FILTER(A:A, I:I=I100))
)"),34)</f>
        <v>34</v>
      </c>
      <c r="L100" s="36"/>
      <c r="M100" s="36"/>
      <c r="N100" s="36"/>
    </row>
    <row r="101" spans="1:14" ht="15" x14ac:dyDescent="0.25">
      <c r="A101" s="33" t="s">
        <v>126</v>
      </c>
      <c r="B101" s="39">
        <v>45987</v>
      </c>
      <c r="C101" s="35" t="str">
        <f t="shared" si="3"/>
        <v>11-2025</v>
      </c>
      <c r="D101" s="36" t="s">
        <v>14</v>
      </c>
      <c r="E101" s="36" t="s">
        <v>32</v>
      </c>
      <c r="F101" s="37">
        <v>373.87</v>
      </c>
      <c r="G101" s="36" t="s">
        <v>22</v>
      </c>
      <c r="H101" s="37">
        <f t="shared" si="1"/>
        <v>1</v>
      </c>
      <c r="I101" s="37">
        <f t="shared" si="4"/>
        <v>3</v>
      </c>
      <c r="J101" s="37" t="str">
        <f>IF(COUNTIF($A$2:A101,A101)=1,"New","Repeat")</f>
        <v>New</v>
      </c>
      <c r="K101" s="37">
        <f ca="1">IFERROR(__xludf.DUMMYFUNCTION("IF(I101=""4+"",
   COUNTUNIQUE(FILTER(A:A, I:I&gt;=4)),
   COUNTUNIQUE(FILTER(A:A, I:I=I101))
)"),42)</f>
        <v>42</v>
      </c>
      <c r="L101" s="36"/>
      <c r="M101" s="36"/>
      <c r="N101" s="36"/>
    </row>
    <row r="102" spans="1:14" ht="15" x14ac:dyDescent="0.25">
      <c r="A102" s="33" t="s">
        <v>56</v>
      </c>
      <c r="B102" s="39">
        <v>46016</v>
      </c>
      <c r="C102" s="35" t="str">
        <f t="shared" si="3"/>
        <v>12-2025</v>
      </c>
      <c r="D102" s="36" t="s">
        <v>14</v>
      </c>
      <c r="E102" s="36" t="s">
        <v>15</v>
      </c>
      <c r="F102" s="37">
        <v>413.98</v>
      </c>
      <c r="G102" s="36" t="s">
        <v>70</v>
      </c>
      <c r="H102" s="37">
        <f t="shared" si="1"/>
        <v>1</v>
      </c>
      <c r="I102" s="37">
        <f t="shared" si="4"/>
        <v>4</v>
      </c>
      <c r="J102" s="37" t="str">
        <f>IF(COUNTIF($A$2:A102,A102)=1,"New","Repeat")</f>
        <v>Repeat</v>
      </c>
      <c r="K102" s="37">
        <f ca="1">IFERROR(__xludf.DUMMYFUNCTION("IF(I102=""4+"",
   COUNTUNIQUE(FILTER(A:A, I:I&gt;=4)),
   COUNTUNIQUE(FILTER(A:A, I:I=I102))
)"),32)</f>
        <v>32</v>
      </c>
      <c r="L102" s="36"/>
      <c r="M102" s="36"/>
      <c r="N102" s="36"/>
    </row>
    <row r="103" spans="1:14" ht="15" x14ac:dyDescent="0.25">
      <c r="A103" s="33" t="s">
        <v>127</v>
      </c>
      <c r="B103" s="34">
        <v>45734</v>
      </c>
      <c r="C103" s="35" t="str">
        <f t="shared" si="3"/>
        <v>03-2025</v>
      </c>
      <c r="D103" s="36" t="s">
        <v>28</v>
      </c>
      <c r="E103" s="36" t="s">
        <v>43</v>
      </c>
      <c r="F103" s="37">
        <v>340.65</v>
      </c>
      <c r="G103" s="36" t="s">
        <v>16</v>
      </c>
      <c r="H103" s="37">
        <f t="shared" si="1"/>
        <v>1</v>
      </c>
      <c r="I103" s="37">
        <f t="shared" si="4"/>
        <v>5</v>
      </c>
      <c r="J103" s="37" t="str">
        <f>IF(COUNTIF($A$2:A103,A103)=1,"New","Repeat")</f>
        <v>New</v>
      </c>
      <c r="K103" s="37">
        <f ca="1">IFERROR(__xludf.DUMMYFUNCTION("IF(I103=""4+"",
   COUNTUNIQUE(FILTER(A:A, I:I&gt;=4)),
   COUNTUNIQUE(FILTER(A:A, I:I=I103))
)"),34)</f>
        <v>34</v>
      </c>
      <c r="L103" s="36"/>
      <c r="M103" s="36"/>
      <c r="N103" s="36"/>
    </row>
    <row r="104" spans="1:14" ht="15" x14ac:dyDescent="0.25">
      <c r="A104" s="33" t="s">
        <v>128</v>
      </c>
      <c r="B104" s="34">
        <v>45926</v>
      </c>
      <c r="C104" s="35" t="str">
        <f t="shared" si="3"/>
        <v>09-2025</v>
      </c>
      <c r="D104" s="36" t="s">
        <v>14</v>
      </c>
      <c r="E104" s="36" t="s">
        <v>32</v>
      </c>
      <c r="F104" s="37">
        <v>393.06</v>
      </c>
      <c r="G104" s="36" t="s">
        <v>25</v>
      </c>
      <c r="H104" s="37">
        <f t="shared" si="1"/>
        <v>1</v>
      </c>
      <c r="I104" s="37">
        <f t="shared" si="4"/>
        <v>6</v>
      </c>
      <c r="J104" s="37" t="str">
        <f>IF(COUNTIF($A$2:A104,A104)=1,"New","Repeat")</f>
        <v>New</v>
      </c>
      <c r="K104" s="37">
        <f ca="1">IFERROR(__xludf.DUMMYFUNCTION("IF(I104=""4+"",
   COUNTUNIQUE(FILTER(A:A, I:I&gt;=4)),
   COUNTUNIQUE(FILTER(A:A, I:I=I104))
)"),19)</f>
        <v>19</v>
      </c>
      <c r="L104" s="36"/>
      <c r="M104" s="36"/>
      <c r="N104" s="36"/>
    </row>
    <row r="105" spans="1:14" ht="15" x14ac:dyDescent="0.25">
      <c r="A105" s="33" t="s">
        <v>129</v>
      </c>
      <c r="B105" s="34">
        <v>45789</v>
      </c>
      <c r="C105" s="35" t="str">
        <f t="shared" si="3"/>
        <v>05-2025</v>
      </c>
      <c r="D105" s="36" t="s">
        <v>35</v>
      </c>
      <c r="E105" s="36" t="s">
        <v>39</v>
      </c>
      <c r="F105" s="37">
        <v>198.62</v>
      </c>
      <c r="G105" s="36" t="s">
        <v>70</v>
      </c>
      <c r="H105" s="37">
        <f t="shared" si="1"/>
        <v>1</v>
      </c>
      <c r="I105" s="37">
        <f t="shared" si="4"/>
        <v>5</v>
      </c>
      <c r="J105" s="37" t="str">
        <f>IF(COUNTIF($A$2:A105,A105)=1,"New","Repeat")</f>
        <v>New</v>
      </c>
      <c r="K105" s="37">
        <f ca="1">IFERROR(__xludf.DUMMYFUNCTION("IF(I105=""4+"",
   COUNTUNIQUE(FILTER(A:A, I:I&gt;=4)),
   COUNTUNIQUE(FILTER(A:A, I:I=I105))
)"),34)</f>
        <v>34</v>
      </c>
      <c r="L105" s="36"/>
      <c r="M105" s="36"/>
      <c r="N105" s="36"/>
    </row>
    <row r="106" spans="1:14" ht="15" x14ac:dyDescent="0.25">
      <c r="A106" s="33" t="s">
        <v>130</v>
      </c>
      <c r="B106" s="34">
        <v>45970</v>
      </c>
      <c r="C106" s="35" t="str">
        <f t="shared" si="3"/>
        <v>11-2025</v>
      </c>
      <c r="D106" s="36" t="s">
        <v>28</v>
      </c>
      <c r="E106" s="36" t="s">
        <v>45</v>
      </c>
      <c r="F106" s="37">
        <v>13.02</v>
      </c>
      <c r="G106" s="36" t="s">
        <v>30</v>
      </c>
      <c r="H106" s="37">
        <f t="shared" si="1"/>
        <v>1</v>
      </c>
      <c r="I106" s="37">
        <f t="shared" si="4"/>
        <v>5</v>
      </c>
      <c r="J106" s="37" t="str">
        <f>IF(COUNTIF($A$2:A106,A106)=1,"New","Repeat")</f>
        <v>New</v>
      </c>
      <c r="K106" s="37">
        <f ca="1">IFERROR(__xludf.DUMMYFUNCTION("IF(I106=""4+"",
   COUNTUNIQUE(FILTER(A:A, I:I&gt;=4)),
   COUNTUNIQUE(FILTER(A:A, I:I=I106))
)"),34)</f>
        <v>34</v>
      </c>
      <c r="L106" s="36"/>
      <c r="M106" s="36"/>
      <c r="N106" s="36"/>
    </row>
    <row r="107" spans="1:14" ht="15" x14ac:dyDescent="0.25">
      <c r="A107" s="33" t="s">
        <v>67</v>
      </c>
      <c r="B107" s="34">
        <v>46023</v>
      </c>
      <c r="C107" s="35" t="str">
        <f t="shared" si="3"/>
        <v>01-2026</v>
      </c>
      <c r="D107" s="36" t="s">
        <v>28</v>
      </c>
      <c r="E107" s="36" t="s">
        <v>45</v>
      </c>
      <c r="F107" s="37">
        <v>65.709999999999994</v>
      </c>
      <c r="G107" s="36" t="s">
        <v>70</v>
      </c>
      <c r="H107" s="37">
        <f t="shared" si="1"/>
        <v>1</v>
      </c>
      <c r="I107" s="37">
        <f t="shared" si="4"/>
        <v>7</v>
      </c>
      <c r="J107" s="37" t="str">
        <f>IF(COUNTIF($A$2:A107,A107)=1,"New","Repeat")</f>
        <v>Repeat</v>
      </c>
      <c r="K107" s="37">
        <f ca="1">IFERROR(__xludf.DUMMYFUNCTION("IF(I107=""4+"",
   COUNTUNIQUE(FILTER(A:A, I:I&gt;=4)),
   COUNTUNIQUE(FILTER(A:A, I:I=I107))
)"),4)</f>
        <v>4</v>
      </c>
      <c r="L107" s="36"/>
      <c r="M107" s="36"/>
      <c r="N107" s="36"/>
    </row>
    <row r="108" spans="1:14" ht="15" x14ac:dyDescent="0.25">
      <c r="A108" s="33" t="s">
        <v>73</v>
      </c>
      <c r="B108" s="34">
        <v>45791</v>
      </c>
      <c r="C108" s="35" t="str">
        <f t="shared" si="3"/>
        <v>05-2025</v>
      </c>
      <c r="D108" s="36" t="s">
        <v>18</v>
      </c>
      <c r="E108" s="36" t="s">
        <v>21</v>
      </c>
      <c r="F108" s="37">
        <v>72.489999999999995</v>
      </c>
      <c r="G108" s="36" t="s">
        <v>30</v>
      </c>
      <c r="H108" s="37">
        <f t="shared" si="1"/>
        <v>1</v>
      </c>
      <c r="I108" s="37">
        <f t="shared" si="4"/>
        <v>3</v>
      </c>
      <c r="J108" s="37" t="str">
        <f>IF(COUNTIF($A$2:A108,A108)=1,"New","Repeat")</f>
        <v>Repeat</v>
      </c>
      <c r="K108" s="37">
        <f ca="1">IFERROR(__xludf.DUMMYFUNCTION("IF(I108=""4+"",
   COUNTUNIQUE(FILTER(A:A, I:I&gt;=4)),
   COUNTUNIQUE(FILTER(A:A, I:I=I108))
)"),42)</f>
        <v>42</v>
      </c>
      <c r="L108" s="36"/>
      <c r="M108" s="36"/>
      <c r="N108" s="36"/>
    </row>
    <row r="109" spans="1:14" ht="15" x14ac:dyDescent="0.25">
      <c r="A109" s="33" t="s">
        <v>106</v>
      </c>
      <c r="B109" s="34">
        <v>45792</v>
      </c>
      <c r="C109" s="35" t="str">
        <f t="shared" si="3"/>
        <v>05-2025</v>
      </c>
      <c r="D109" s="36" t="s">
        <v>14</v>
      </c>
      <c r="E109" s="36" t="s">
        <v>32</v>
      </c>
      <c r="F109" s="37">
        <v>16.510000000000002</v>
      </c>
      <c r="G109" s="36" t="s">
        <v>70</v>
      </c>
      <c r="H109" s="37">
        <f t="shared" si="1"/>
        <v>1</v>
      </c>
      <c r="I109" s="37">
        <f t="shared" si="4"/>
        <v>3</v>
      </c>
      <c r="J109" s="37" t="str">
        <f>IF(COUNTIF($A$2:A109,A109)=1,"New","Repeat")</f>
        <v>Repeat</v>
      </c>
      <c r="K109" s="37">
        <f ca="1">IFERROR(__xludf.DUMMYFUNCTION("IF(I109=""4+"",
   COUNTUNIQUE(FILTER(A:A, I:I&gt;=4)),
   COUNTUNIQUE(FILTER(A:A, I:I=I109))
)"),42)</f>
        <v>42</v>
      </c>
      <c r="L109" s="36"/>
      <c r="M109" s="36"/>
      <c r="N109" s="36"/>
    </row>
    <row r="110" spans="1:14" ht="15" x14ac:dyDescent="0.25">
      <c r="A110" s="33" t="s">
        <v>131</v>
      </c>
      <c r="B110" s="34">
        <v>45813</v>
      </c>
      <c r="C110" s="35" t="str">
        <f t="shared" si="3"/>
        <v>06-2025</v>
      </c>
      <c r="D110" s="36" t="s">
        <v>28</v>
      </c>
      <c r="E110" s="36" t="s">
        <v>74</v>
      </c>
      <c r="F110" s="37">
        <v>468.9</v>
      </c>
      <c r="G110" s="36" t="s">
        <v>16</v>
      </c>
      <c r="H110" s="37">
        <f t="shared" si="1"/>
        <v>1</v>
      </c>
      <c r="I110" s="37">
        <f t="shared" si="4"/>
        <v>2</v>
      </c>
      <c r="J110" s="37" t="str">
        <f>IF(COUNTIF($A$2:A110,A110)=1,"New","Repeat")</f>
        <v>New</v>
      </c>
      <c r="K110" s="37">
        <f ca="1">IFERROR(__xludf.DUMMYFUNCTION("IF(I110=""4+"",
   COUNTUNIQUE(FILTER(A:A, I:I&gt;=4)),
   COUNTUNIQUE(FILTER(A:A, I:I=I110))
)"),37)</f>
        <v>37</v>
      </c>
      <c r="L110" s="36"/>
      <c r="M110" s="36"/>
      <c r="N110" s="36"/>
    </row>
    <row r="111" spans="1:14" ht="15" x14ac:dyDescent="0.25">
      <c r="A111" s="33" t="s">
        <v>105</v>
      </c>
      <c r="B111" s="34">
        <v>45853</v>
      </c>
      <c r="C111" s="35" t="str">
        <f t="shared" si="3"/>
        <v>07-2025</v>
      </c>
      <c r="D111" s="36" t="s">
        <v>14</v>
      </c>
      <c r="E111" s="36" t="s">
        <v>15</v>
      </c>
      <c r="F111" s="37">
        <v>492.14</v>
      </c>
      <c r="G111" s="36" t="s">
        <v>70</v>
      </c>
      <c r="H111" s="37">
        <f t="shared" si="1"/>
        <v>1</v>
      </c>
      <c r="I111" s="37">
        <f t="shared" si="4"/>
        <v>5</v>
      </c>
      <c r="J111" s="37" t="str">
        <f>IF(COUNTIF($A$2:A111,A111)=1,"New","Repeat")</f>
        <v>Repeat</v>
      </c>
      <c r="K111" s="37">
        <f ca="1">IFERROR(__xludf.DUMMYFUNCTION("IF(I111=""4+"",
   COUNTUNIQUE(FILTER(A:A, I:I&gt;=4)),
   COUNTUNIQUE(FILTER(A:A, I:I=I111))
)"),34)</f>
        <v>34</v>
      </c>
      <c r="L111" s="36"/>
      <c r="M111" s="36"/>
      <c r="N111" s="36"/>
    </row>
    <row r="112" spans="1:14" ht="15" x14ac:dyDescent="0.25">
      <c r="A112" s="33" t="s">
        <v>118</v>
      </c>
      <c r="B112" s="34">
        <v>46033</v>
      </c>
      <c r="C112" s="35" t="str">
        <f t="shared" si="3"/>
        <v>01-2026</v>
      </c>
      <c r="D112" s="36" t="s">
        <v>28</v>
      </c>
      <c r="E112" s="36" t="s">
        <v>87</v>
      </c>
      <c r="F112" s="37">
        <v>57.01</v>
      </c>
      <c r="G112" s="36" t="s">
        <v>25</v>
      </c>
      <c r="H112" s="37">
        <f t="shared" si="1"/>
        <v>1</v>
      </c>
      <c r="I112" s="37">
        <f t="shared" si="4"/>
        <v>5</v>
      </c>
      <c r="J112" s="37" t="str">
        <f>IF(COUNTIF($A$2:A112,A112)=1,"New","Repeat")</f>
        <v>Repeat</v>
      </c>
      <c r="K112" s="37">
        <f ca="1">IFERROR(__xludf.DUMMYFUNCTION("IF(I112=""4+"",
   COUNTUNIQUE(FILTER(A:A, I:I&gt;=4)),
   COUNTUNIQUE(FILTER(A:A, I:I=I112))
)"),34)</f>
        <v>34</v>
      </c>
      <c r="L112" s="36"/>
      <c r="M112" s="36"/>
      <c r="N112" s="36"/>
    </row>
    <row r="113" spans="1:14" ht="15" x14ac:dyDescent="0.25">
      <c r="A113" s="33" t="s">
        <v>132</v>
      </c>
      <c r="B113" s="34">
        <v>46073</v>
      </c>
      <c r="C113" s="35" t="str">
        <f t="shared" si="3"/>
        <v>02-2026</v>
      </c>
      <c r="D113" s="36" t="s">
        <v>18</v>
      </c>
      <c r="E113" s="36" t="s">
        <v>21</v>
      </c>
      <c r="F113" s="37">
        <v>451.77</v>
      </c>
      <c r="G113" s="36" t="s">
        <v>30</v>
      </c>
      <c r="H113" s="37">
        <f t="shared" si="1"/>
        <v>1</v>
      </c>
      <c r="I113" s="37">
        <f t="shared" si="4"/>
        <v>4</v>
      </c>
      <c r="J113" s="37" t="str">
        <f>IF(COUNTIF($A$2:A113,A113)=1,"New","Repeat")</f>
        <v>New</v>
      </c>
      <c r="K113" s="37">
        <f ca="1">IFERROR(__xludf.DUMMYFUNCTION("IF(I113=""4+"",
   COUNTUNIQUE(FILTER(A:A, I:I&gt;=4)),
   COUNTUNIQUE(FILTER(A:A, I:I=I113))
)"),32)</f>
        <v>32</v>
      </c>
      <c r="L113" s="36"/>
      <c r="M113" s="36"/>
      <c r="N113" s="36"/>
    </row>
    <row r="114" spans="1:14" ht="15" x14ac:dyDescent="0.25">
      <c r="A114" s="33" t="s">
        <v>105</v>
      </c>
      <c r="B114" s="34">
        <v>45921</v>
      </c>
      <c r="C114" s="35" t="str">
        <f t="shared" si="3"/>
        <v>09-2025</v>
      </c>
      <c r="D114" s="36" t="s">
        <v>51</v>
      </c>
      <c r="E114" s="36" t="s">
        <v>72</v>
      </c>
      <c r="F114" s="37">
        <v>197.98</v>
      </c>
      <c r="G114" s="36" t="s">
        <v>70</v>
      </c>
      <c r="H114" s="37">
        <f t="shared" si="1"/>
        <v>1</v>
      </c>
      <c r="I114" s="37">
        <f t="shared" si="4"/>
        <v>5</v>
      </c>
      <c r="J114" s="37" t="str">
        <f>IF(COUNTIF($A$2:A114,A114)=1,"New","Repeat")</f>
        <v>Repeat</v>
      </c>
      <c r="K114" s="37">
        <f ca="1">IFERROR(__xludf.DUMMYFUNCTION("IF(I114=""4+"",
   COUNTUNIQUE(FILTER(A:A, I:I&gt;=4)),
   COUNTUNIQUE(FILTER(A:A, I:I=I114))
)"),34)</f>
        <v>34</v>
      </c>
      <c r="L114" s="36"/>
      <c r="M114" s="36"/>
      <c r="N114" s="36"/>
    </row>
    <row r="115" spans="1:14" ht="15" x14ac:dyDescent="0.25">
      <c r="A115" s="33" t="s">
        <v>133</v>
      </c>
      <c r="B115" s="34">
        <v>46054</v>
      </c>
      <c r="C115" s="35" t="str">
        <f t="shared" si="3"/>
        <v>02-2026</v>
      </c>
      <c r="D115" s="36" t="s">
        <v>14</v>
      </c>
      <c r="E115" s="36" t="s">
        <v>59</v>
      </c>
      <c r="F115" s="37">
        <v>450.25</v>
      </c>
      <c r="G115" s="36" t="s">
        <v>25</v>
      </c>
      <c r="H115" s="37">
        <f t="shared" si="1"/>
        <v>1</v>
      </c>
      <c r="I115" s="37">
        <f t="shared" si="4"/>
        <v>4</v>
      </c>
      <c r="J115" s="37" t="str">
        <f>IF(COUNTIF($A$2:A115,A115)=1,"New","Repeat")</f>
        <v>New</v>
      </c>
      <c r="K115" s="37">
        <f ca="1">IFERROR(__xludf.DUMMYFUNCTION("IF(I115=""4+"",
   COUNTUNIQUE(FILTER(A:A, I:I&gt;=4)),
   COUNTUNIQUE(FILTER(A:A, I:I=I115))
)"),32)</f>
        <v>32</v>
      </c>
      <c r="L115" s="36"/>
      <c r="M115" s="36"/>
      <c r="N115" s="36"/>
    </row>
    <row r="116" spans="1:14" ht="15" x14ac:dyDescent="0.25">
      <c r="A116" s="33" t="s">
        <v>119</v>
      </c>
      <c r="B116" s="34">
        <v>46035</v>
      </c>
      <c r="C116" s="35" t="str">
        <f t="shared" si="3"/>
        <v>01-2026</v>
      </c>
      <c r="D116" s="36" t="s">
        <v>51</v>
      </c>
      <c r="E116" s="36" t="s">
        <v>101</v>
      </c>
      <c r="F116" s="37">
        <v>144.99</v>
      </c>
      <c r="G116" s="36" t="s">
        <v>22</v>
      </c>
      <c r="H116" s="37">
        <f t="shared" si="1"/>
        <v>1</v>
      </c>
      <c r="I116" s="37">
        <f t="shared" si="4"/>
        <v>6</v>
      </c>
      <c r="J116" s="37" t="str">
        <f>IF(COUNTIF($A$2:A116,A116)=1,"New","Repeat")</f>
        <v>Repeat</v>
      </c>
      <c r="K116" s="37">
        <f ca="1">IFERROR(__xludf.DUMMYFUNCTION("IF(I116=""4+"",
   COUNTUNIQUE(FILTER(A:A, I:I&gt;=4)),
   COUNTUNIQUE(FILTER(A:A, I:I=I116))
)"),19)</f>
        <v>19</v>
      </c>
      <c r="L116" s="36"/>
      <c r="M116" s="36"/>
      <c r="N116" s="36"/>
    </row>
    <row r="117" spans="1:14" ht="15" x14ac:dyDescent="0.25">
      <c r="A117" s="33" t="s">
        <v>134</v>
      </c>
      <c r="B117" s="34">
        <v>45762</v>
      </c>
      <c r="C117" s="35" t="str">
        <f t="shared" si="3"/>
        <v>04-2025</v>
      </c>
      <c r="D117" s="36" t="s">
        <v>14</v>
      </c>
      <c r="E117" s="36" t="s">
        <v>96</v>
      </c>
      <c r="F117" s="37">
        <v>123.6</v>
      </c>
      <c r="G117" s="36" t="s">
        <v>33</v>
      </c>
      <c r="H117" s="37">
        <f t="shared" si="1"/>
        <v>1</v>
      </c>
      <c r="I117" s="37">
        <f t="shared" si="4"/>
        <v>4</v>
      </c>
      <c r="J117" s="37" t="str">
        <f>IF(COUNTIF($A$2:A117,A117)=1,"New","Repeat")</f>
        <v>New</v>
      </c>
      <c r="K117" s="37">
        <f ca="1">IFERROR(__xludf.DUMMYFUNCTION("IF(I117=""4+"",
   COUNTUNIQUE(FILTER(A:A, I:I&gt;=4)),
   COUNTUNIQUE(FILTER(A:A, I:I=I117))
)"),32)</f>
        <v>32</v>
      </c>
      <c r="L117" s="36"/>
      <c r="M117" s="36"/>
      <c r="N117" s="36"/>
    </row>
    <row r="118" spans="1:14" ht="15" x14ac:dyDescent="0.25">
      <c r="A118" s="33" t="s">
        <v>85</v>
      </c>
      <c r="B118" s="34">
        <v>45816</v>
      </c>
      <c r="C118" s="35" t="str">
        <f t="shared" si="3"/>
        <v>06-2025</v>
      </c>
      <c r="D118" s="36" t="s">
        <v>18</v>
      </c>
      <c r="E118" s="36" t="s">
        <v>47</v>
      </c>
      <c r="F118" s="37">
        <v>437.47</v>
      </c>
      <c r="G118" s="36" t="s">
        <v>16</v>
      </c>
      <c r="H118" s="37">
        <f t="shared" si="1"/>
        <v>1</v>
      </c>
      <c r="I118" s="37">
        <f t="shared" si="4"/>
        <v>3</v>
      </c>
      <c r="J118" s="37" t="str">
        <f>IF(COUNTIF($A$2:A118,A118)=1,"New","Repeat")</f>
        <v>Repeat</v>
      </c>
      <c r="K118" s="37">
        <f ca="1">IFERROR(__xludf.DUMMYFUNCTION("IF(I118=""4+"",
   COUNTUNIQUE(FILTER(A:A, I:I&gt;=4)),
   COUNTUNIQUE(FILTER(A:A, I:I=I118))
)"),42)</f>
        <v>42</v>
      </c>
      <c r="L118" s="36"/>
      <c r="M118" s="36"/>
      <c r="N118" s="36"/>
    </row>
    <row r="119" spans="1:14" ht="15" x14ac:dyDescent="0.25">
      <c r="A119" s="33" t="s">
        <v>84</v>
      </c>
      <c r="B119" s="34">
        <v>46027</v>
      </c>
      <c r="C119" s="35" t="str">
        <f t="shared" si="3"/>
        <v>01-2026</v>
      </c>
      <c r="D119" s="36" t="s">
        <v>14</v>
      </c>
      <c r="E119" s="36" t="s">
        <v>32</v>
      </c>
      <c r="F119" s="37">
        <v>115</v>
      </c>
      <c r="G119" s="36" t="s">
        <v>22</v>
      </c>
      <c r="H119" s="37">
        <f t="shared" si="1"/>
        <v>1</v>
      </c>
      <c r="I119" s="37">
        <f t="shared" si="4"/>
        <v>5</v>
      </c>
      <c r="J119" s="37" t="str">
        <f>IF(COUNTIF($A$2:A119,A119)=1,"New","Repeat")</f>
        <v>Repeat</v>
      </c>
      <c r="K119" s="37">
        <f ca="1">IFERROR(__xludf.DUMMYFUNCTION("IF(I119=""4+"",
   COUNTUNIQUE(FILTER(A:A, I:I&gt;=4)),
   COUNTUNIQUE(FILTER(A:A, I:I=I119))
)"),34)</f>
        <v>34</v>
      </c>
      <c r="L119" s="36"/>
      <c r="M119" s="36"/>
      <c r="N119" s="36"/>
    </row>
    <row r="120" spans="1:14" ht="15" x14ac:dyDescent="0.25">
      <c r="A120" s="33" t="s">
        <v>135</v>
      </c>
      <c r="B120" s="34">
        <v>45903</v>
      </c>
      <c r="C120" s="35" t="str">
        <f t="shared" si="3"/>
        <v>09-2025</v>
      </c>
      <c r="D120" s="36" t="s">
        <v>18</v>
      </c>
      <c r="E120" s="36" t="s">
        <v>19</v>
      </c>
      <c r="F120" s="37">
        <v>497.78</v>
      </c>
      <c r="G120" s="36" t="s">
        <v>37</v>
      </c>
      <c r="H120" s="37">
        <f t="shared" si="1"/>
        <v>1</v>
      </c>
      <c r="I120" s="37">
        <f t="shared" si="4"/>
        <v>4</v>
      </c>
      <c r="J120" s="37" t="str">
        <f>IF(COUNTIF($A$2:A120,A120)=1,"New","Repeat")</f>
        <v>New</v>
      </c>
      <c r="K120" s="37">
        <f ca="1">IFERROR(__xludf.DUMMYFUNCTION("IF(I120=""4+"",
   COUNTUNIQUE(FILTER(A:A, I:I&gt;=4)),
   COUNTUNIQUE(FILTER(A:A, I:I=I120))
)"),32)</f>
        <v>32</v>
      </c>
      <c r="L120" s="36"/>
      <c r="M120" s="36"/>
      <c r="N120" s="36"/>
    </row>
    <row r="121" spans="1:14" ht="15" x14ac:dyDescent="0.25">
      <c r="A121" s="33" t="s">
        <v>136</v>
      </c>
      <c r="B121" s="34">
        <v>45864</v>
      </c>
      <c r="C121" s="35" t="str">
        <f t="shared" si="3"/>
        <v>07-2025</v>
      </c>
      <c r="D121" s="36" t="s">
        <v>28</v>
      </c>
      <c r="E121" s="36" t="s">
        <v>29</v>
      </c>
      <c r="F121" s="37">
        <v>188.22</v>
      </c>
      <c r="G121" s="36" t="s">
        <v>37</v>
      </c>
      <c r="H121" s="37">
        <f t="shared" si="1"/>
        <v>0</v>
      </c>
      <c r="I121" s="37">
        <f t="shared" si="4"/>
        <v>1</v>
      </c>
      <c r="J121" s="37" t="str">
        <f>IF(COUNTIF($A$2:A121,A121)=1,"New","Repeat")</f>
        <v>New</v>
      </c>
      <c r="K121" s="37">
        <f ca="1">IFERROR(__xludf.DUMMYFUNCTION("IF(I121=""4+"",
   COUNTUNIQUE(FILTER(A:A, I:I&gt;=4)),
   COUNTUNIQUE(FILTER(A:A, I:I=I121))
)"),24)</f>
        <v>24</v>
      </c>
      <c r="L121" s="36"/>
      <c r="M121" s="36"/>
      <c r="N121" s="36"/>
    </row>
    <row r="122" spans="1:14" ht="15" x14ac:dyDescent="0.25">
      <c r="A122" s="33" t="s">
        <v>137</v>
      </c>
      <c r="B122" s="34">
        <v>46032</v>
      </c>
      <c r="C122" s="35" t="str">
        <f t="shared" si="3"/>
        <v>01-2026</v>
      </c>
      <c r="D122" s="36" t="s">
        <v>14</v>
      </c>
      <c r="E122" s="36" t="s">
        <v>41</v>
      </c>
      <c r="F122" s="37">
        <v>258.57</v>
      </c>
      <c r="G122" s="36" t="s">
        <v>70</v>
      </c>
      <c r="H122" s="37">
        <f t="shared" si="1"/>
        <v>0</v>
      </c>
      <c r="I122" s="37">
        <f t="shared" si="4"/>
        <v>1</v>
      </c>
      <c r="J122" s="37" t="str">
        <f>IF(COUNTIF($A$2:A122,A122)=1,"New","Repeat")</f>
        <v>New</v>
      </c>
      <c r="K122" s="37">
        <f ca="1">IFERROR(__xludf.DUMMYFUNCTION("IF(I122=""4+"",
   COUNTUNIQUE(FILTER(A:A, I:I&gt;=4)),
   COUNTUNIQUE(FILTER(A:A, I:I=I122))
)"),24)</f>
        <v>24</v>
      </c>
      <c r="L122" s="36"/>
      <c r="M122" s="36"/>
      <c r="N122" s="36"/>
    </row>
    <row r="123" spans="1:14" ht="15" x14ac:dyDescent="0.25">
      <c r="A123" s="33" t="s">
        <v>107</v>
      </c>
      <c r="B123" s="34">
        <v>45892</v>
      </c>
      <c r="C123" s="35" t="str">
        <f t="shared" si="3"/>
        <v>08-2025</v>
      </c>
      <c r="D123" s="36" t="s">
        <v>18</v>
      </c>
      <c r="E123" s="36" t="s">
        <v>21</v>
      </c>
      <c r="F123" s="37">
        <v>107.38</v>
      </c>
      <c r="G123" s="36" t="s">
        <v>33</v>
      </c>
      <c r="H123" s="37">
        <f t="shared" si="1"/>
        <v>1</v>
      </c>
      <c r="I123" s="37">
        <f t="shared" si="4"/>
        <v>2</v>
      </c>
      <c r="J123" s="37" t="str">
        <f>IF(COUNTIF($A$2:A123,A123)=1,"New","Repeat")</f>
        <v>Repeat</v>
      </c>
      <c r="K123" s="37">
        <f ca="1">IFERROR(__xludf.DUMMYFUNCTION("IF(I123=""4+"",
   COUNTUNIQUE(FILTER(A:A, I:I&gt;=4)),
   COUNTUNIQUE(FILTER(A:A, I:I=I123))
)"),37)</f>
        <v>37</v>
      </c>
      <c r="L123" s="36"/>
      <c r="M123" s="36"/>
      <c r="N123" s="36"/>
    </row>
    <row r="124" spans="1:14" ht="15" x14ac:dyDescent="0.25">
      <c r="A124" s="33" t="s">
        <v>104</v>
      </c>
      <c r="B124" s="34">
        <v>45818</v>
      </c>
      <c r="C124" s="35" t="str">
        <f t="shared" si="3"/>
        <v>06-2025</v>
      </c>
      <c r="D124" s="36" t="s">
        <v>28</v>
      </c>
      <c r="E124" s="36" t="s">
        <v>45</v>
      </c>
      <c r="F124" s="37">
        <v>141.26</v>
      </c>
      <c r="G124" s="36" t="s">
        <v>33</v>
      </c>
      <c r="H124" s="37">
        <f t="shared" si="1"/>
        <v>1</v>
      </c>
      <c r="I124" s="37">
        <f t="shared" si="4"/>
        <v>4</v>
      </c>
      <c r="J124" s="37" t="str">
        <f>IF(COUNTIF($A$2:A124,A124)=1,"New","Repeat")</f>
        <v>Repeat</v>
      </c>
      <c r="K124" s="37">
        <f ca="1">IFERROR(__xludf.DUMMYFUNCTION("IF(I124=""4+"",
   COUNTUNIQUE(FILTER(A:A, I:I&gt;=4)),
   COUNTUNIQUE(FILTER(A:A, I:I=I124))
)"),32)</f>
        <v>32</v>
      </c>
      <c r="L124" s="36"/>
      <c r="M124" s="36"/>
      <c r="N124" s="36"/>
    </row>
    <row r="125" spans="1:14" ht="15" x14ac:dyDescent="0.25">
      <c r="A125" s="33" t="s">
        <v>138</v>
      </c>
      <c r="B125" s="34">
        <v>46037</v>
      </c>
      <c r="C125" s="35" t="str">
        <f t="shared" si="3"/>
        <v>01-2026</v>
      </c>
      <c r="D125" s="36" t="s">
        <v>28</v>
      </c>
      <c r="E125" s="36" t="s">
        <v>74</v>
      </c>
      <c r="F125" s="37">
        <v>261.98</v>
      </c>
      <c r="G125" s="36" t="s">
        <v>16</v>
      </c>
      <c r="H125" s="37">
        <f t="shared" si="1"/>
        <v>0</v>
      </c>
      <c r="I125" s="37">
        <f t="shared" si="4"/>
        <v>1</v>
      </c>
      <c r="J125" s="37" t="str">
        <f>IF(COUNTIF($A$2:A125,A125)=1,"New","Repeat")</f>
        <v>New</v>
      </c>
      <c r="K125" s="37">
        <f ca="1">IFERROR(__xludf.DUMMYFUNCTION("IF(I125=""4+"",
   COUNTUNIQUE(FILTER(A:A, I:I&gt;=4)),
   COUNTUNIQUE(FILTER(A:A, I:I=I125))
)"),24)</f>
        <v>24</v>
      </c>
      <c r="L125" s="36"/>
      <c r="M125" s="36"/>
      <c r="N125" s="36"/>
    </row>
    <row r="126" spans="1:14" ht="15" x14ac:dyDescent="0.25">
      <c r="A126" s="33" t="s">
        <v>139</v>
      </c>
      <c r="B126" s="39">
        <v>46021</v>
      </c>
      <c r="C126" s="35" t="str">
        <f t="shared" si="3"/>
        <v>12-2025</v>
      </c>
      <c r="D126" s="36" t="s">
        <v>18</v>
      </c>
      <c r="E126" s="36" t="s">
        <v>24</v>
      </c>
      <c r="F126" s="37">
        <v>486.37</v>
      </c>
      <c r="G126" s="36" t="s">
        <v>37</v>
      </c>
      <c r="H126" s="37">
        <f t="shared" si="1"/>
        <v>1</v>
      </c>
      <c r="I126" s="37">
        <f t="shared" si="4"/>
        <v>5</v>
      </c>
      <c r="J126" s="37" t="str">
        <f>IF(COUNTIF($A$2:A126,A126)=1,"New","Repeat")</f>
        <v>New</v>
      </c>
      <c r="K126" s="37">
        <f ca="1">IFERROR(__xludf.DUMMYFUNCTION("IF(I126=""4+"",
   COUNTUNIQUE(FILTER(A:A, I:I&gt;=4)),
   COUNTUNIQUE(FILTER(A:A, I:I=I126))
)"),34)</f>
        <v>34</v>
      </c>
      <c r="L126" s="36"/>
      <c r="M126" s="36"/>
      <c r="N126" s="36"/>
    </row>
    <row r="127" spans="1:14" ht="15" x14ac:dyDescent="0.25">
      <c r="A127" s="33" t="s">
        <v>126</v>
      </c>
      <c r="B127" s="34">
        <v>45737</v>
      </c>
      <c r="C127" s="35" t="str">
        <f t="shared" si="3"/>
        <v>03-2025</v>
      </c>
      <c r="D127" s="36" t="s">
        <v>28</v>
      </c>
      <c r="E127" s="36" t="s">
        <v>43</v>
      </c>
      <c r="F127" s="37">
        <v>321.88</v>
      </c>
      <c r="G127" s="36" t="s">
        <v>22</v>
      </c>
      <c r="H127" s="37">
        <f t="shared" si="1"/>
        <v>1</v>
      </c>
      <c r="I127" s="37">
        <f t="shared" si="4"/>
        <v>3</v>
      </c>
      <c r="J127" s="37" t="str">
        <f>IF(COUNTIF($A$2:A127,A127)=1,"New","Repeat")</f>
        <v>Repeat</v>
      </c>
      <c r="K127" s="37">
        <f ca="1">IFERROR(__xludf.DUMMYFUNCTION("IF(I127=""4+"",
   COUNTUNIQUE(FILTER(A:A, I:I&gt;=4)),
   COUNTUNIQUE(FILTER(A:A, I:I=I127))
)"),42)</f>
        <v>42</v>
      </c>
      <c r="L127" s="36"/>
      <c r="M127" s="36"/>
      <c r="N127" s="36"/>
    </row>
    <row r="128" spans="1:14" ht="15" x14ac:dyDescent="0.25">
      <c r="A128" s="33" t="s">
        <v>140</v>
      </c>
      <c r="B128" s="34">
        <v>46056</v>
      </c>
      <c r="C128" s="35" t="str">
        <f t="shared" si="3"/>
        <v>02-2026</v>
      </c>
      <c r="D128" s="36" t="s">
        <v>28</v>
      </c>
      <c r="E128" s="36" t="s">
        <v>45</v>
      </c>
      <c r="F128" s="37">
        <v>58.65</v>
      </c>
      <c r="G128" s="36" t="s">
        <v>16</v>
      </c>
      <c r="H128" s="37">
        <f t="shared" si="1"/>
        <v>1</v>
      </c>
      <c r="I128" s="37">
        <f t="shared" si="4"/>
        <v>6</v>
      </c>
      <c r="J128" s="37" t="str">
        <f>IF(COUNTIF($A$2:A128,A128)=1,"New","Repeat")</f>
        <v>New</v>
      </c>
      <c r="K128" s="37">
        <f ca="1">IFERROR(__xludf.DUMMYFUNCTION("IF(I128=""4+"",
   COUNTUNIQUE(FILTER(A:A, I:I&gt;=4)),
   COUNTUNIQUE(FILTER(A:A, I:I=I128))
)"),19)</f>
        <v>19</v>
      </c>
      <c r="L128" s="36"/>
      <c r="M128" s="36"/>
      <c r="N128" s="36"/>
    </row>
    <row r="129" spans="1:14" ht="15" x14ac:dyDescent="0.25">
      <c r="A129" s="33" t="s">
        <v>141</v>
      </c>
      <c r="B129" s="34">
        <v>45939</v>
      </c>
      <c r="C129" s="35" t="str">
        <f t="shared" si="3"/>
        <v>10-2025</v>
      </c>
      <c r="D129" s="36" t="s">
        <v>51</v>
      </c>
      <c r="E129" s="36" t="s">
        <v>52</v>
      </c>
      <c r="F129" s="37">
        <v>447.48</v>
      </c>
      <c r="G129" s="36" t="s">
        <v>22</v>
      </c>
      <c r="H129" s="37">
        <f t="shared" si="1"/>
        <v>1</v>
      </c>
      <c r="I129" s="37">
        <f t="shared" si="4"/>
        <v>3</v>
      </c>
      <c r="J129" s="37" t="str">
        <f>IF(COUNTIF($A$2:A129,A129)=1,"New","Repeat")</f>
        <v>New</v>
      </c>
      <c r="K129" s="37">
        <f ca="1">IFERROR(__xludf.DUMMYFUNCTION("IF(I129=""4+"",
   COUNTUNIQUE(FILTER(A:A, I:I&gt;=4)),
   COUNTUNIQUE(FILTER(A:A, I:I=I129))
)"),42)</f>
        <v>42</v>
      </c>
      <c r="L129" s="36"/>
      <c r="M129" s="36"/>
      <c r="N129" s="36"/>
    </row>
    <row r="130" spans="1:14" ht="15" x14ac:dyDescent="0.25">
      <c r="A130" s="33" t="s">
        <v>13</v>
      </c>
      <c r="B130" s="34">
        <v>45831</v>
      </c>
      <c r="C130" s="35" t="str">
        <f t="shared" ref="C130:C193" si="5">TEXT(B:B, "mm-yyyy")</f>
        <v>06-2025</v>
      </c>
      <c r="D130" s="36" t="s">
        <v>18</v>
      </c>
      <c r="E130" s="36" t="s">
        <v>21</v>
      </c>
      <c r="F130" s="37">
        <v>97.1</v>
      </c>
      <c r="G130" s="36" t="s">
        <v>37</v>
      </c>
      <c r="H130" s="37">
        <f t="shared" si="1"/>
        <v>1</v>
      </c>
      <c r="I130" s="37">
        <f t="shared" ref="I130:I193" si="6">COUNTIF($A:$A, A130)</f>
        <v>3</v>
      </c>
      <c r="J130" s="37" t="str">
        <f>IF(COUNTIF($A$2:A130,A130)=1,"New","Repeat")</f>
        <v>Repeat</v>
      </c>
      <c r="K130" s="37">
        <f ca="1">IFERROR(__xludf.DUMMYFUNCTION("IF(I130=""4+"",
   COUNTUNIQUE(FILTER(A:A, I:I&gt;=4)),
   COUNTUNIQUE(FILTER(A:A, I:I=I130))
)"),42)</f>
        <v>42</v>
      </c>
      <c r="L130" s="36"/>
      <c r="M130" s="36"/>
      <c r="N130" s="36"/>
    </row>
    <row r="131" spans="1:14" ht="15" x14ac:dyDescent="0.25">
      <c r="A131" s="33" t="s">
        <v>142</v>
      </c>
      <c r="B131" s="39">
        <v>45984</v>
      </c>
      <c r="C131" s="35" t="str">
        <f t="shared" si="5"/>
        <v>11-2025</v>
      </c>
      <c r="D131" s="36" t="s">
        <v>35</v>
      </c>
      <c r="E131" s="36" t="s">
        <v>36</v>
      </c>
      <c r="F131" s="37">
        <v>416.64</v>
      </c>
      <c r="G131" s="36" t="s">
        <v>25</v>
      </c>
      <c r="H131" s="37">
        <f t="shared" si="1"/>
        <v>1</v>
      </c>
      <c r="I131" s="37">
        <f t="shared" si="6"/>
        <v>4</v>
      </c>
      <c r="J131" s="37" t="str">
        <f>IF(COUNTIF($A$2:A131,A131)=1,"New","Repeat")</f>
        <v>New</v>
      </c>
      <c r="K131" s="37">
        <f ca="1">IFERROR(__xludf.DUMMYFUNCTION("IF(I131=""4+"",
   COUNTUNIQUE(FILTER(A:A, I:I&gt;=4)),
   COUNTUNIQUE(FILTER(A:A, I:I=I131))
)"),32)</f>
        <v>32</v>
      </c>
      <c r="L131" s="36"/>
      <c r="M131" s="36"/>
      <c r="N131" s="36"/>
    </row>
    <row r="132" spans="1:14" ht="15" x14ac:dyDescent="0.25">
      <c r="A132" s="33" t="s">
        <v>143</v>
      </c>
      <c r="B132" s="39">
        <v>45947</v>
      </c>
      <c r="C132" s="35" t="str">
        <f t="shared" si="5"/>
        <v>10-2025</v>
      </c>
      <c r="D132" s="36" t="s">
        <v>18</v>
      </c>
      <c r="E132" s="36" t="s">
        <v>47</v>
      </c>
      <c r="F132" s="37">
        <v>408.38</v>
      </c>
      <c r="G132" s="36" t="s">
        <v>37</v>
      </c>
      <c r="H132" s="37">
        <f t="shared" si="1"/>
        <v>1</v>
      </c>
      <c r="I132" s="37">
        <f t="shared" si="6"/>
        <v>3</v>
      </c>
      <c r="J132" s="37" t="str">
        <f>IF(COUNTIF($A$2:A132,A132)=1,"New","Repeat")</f>
        <v>New</v>
      </c>
      <c r="K132" s="37">
        <f ca="1">IFERROR(__xludf.DUMMYFUNCTION("IF(I132=""4+"",
   COUNTUNIQUE(FILTER(A:A, I:I&gt;=4)),
   COUNTUNIQUE(FILTER(A:A, I:I=I132))
)"),42)</f>
        <v>42</v>
      </c>
      <c r="L132" s="36"/>
      <c r="M132" s="36"/>
      <c r="N132" s="36"/>
    </row>
    <row r="133" spans="1:14" ht="15" x14ac:dyDescent="0.25">
      <c r="A133" s="33" t="s">
        <v>115</v>
      </c>
      <c r="B133" s="34">
        <v>45884</v>
      </c>
      <c r="C133" s="35" t="str">
        <f t="shared" si="5"/>
        <v>08-2025</v>
      </c>
      <c r="D133" s="36" t="s">
        <v>18</v>
      </c>
      <c r="E133" s="36" t="s">
        <v>21</v>
      </c>
      <c r="F133" s="37">
        <v>406.89</v>
      </c>
      <c r="G133" s="36" t="s">
        <v>70</v>
      </c>
      <c r="H133" s="37">
        <f t="shared" si="1"/>
        <v>1</v>
      </c>
      <c r="I133" s="37">
        <f t="shared" si="6"/>
        <v>4</v>
      </c>
      <c r="J133" s="37" t="str">
        <f>IF(COUNTIF($A$2:A133,A133)=1,"New","Repeat")</f>
        <v>Repeat</v>
      </c>
      <c r="K133" s="37">
        <f ca="1">IFERROR(__xludf.DUMMYFUNCTION("IF(I133=""4+"",
   COUNTUNIQUE(FILTER(A:A, I:I&gt;=4)),
   COUNTUNIQUE(FILTER(A:A, I:I=I133))
)"),32)</f>
        <v>32</v>
      </c>
      <c r="L133" s="36"/>
      <c r="M133" s="36"/>
      <c r="N133" s="36"/>
    </row>
    <row r="134" spans="1:14" ht="15" x14ac:dyDescent="0.25">
      <c r="A134" s="33" t="s">
        <v>133</v>
      </c>
      <c r="B134" s="34">
        <v>45879</v>
      </c>
      <c r="C134" s="35" t="str">
        <f t="shared" si="5"/>
        <v>08-2025</v>
      </c>
      <c r="D134" s="36" t="s">
        <v>18</v>
      </c>
      <c r="E134" s="36" t="s">
        <v>19</v>
      </c>
      <c r="F134" s="37">
        <v>324.14999999999998</v>
      </c>
      <c r="G134" s="36" t="s">
        <v>70</v>
      </c>
      <c r="H134" s="37">
        <f t="shared" si="1"/>
        <v>1</v>
      </c>
      <c r="I134" s="37">
        <f t="shared" si="6"/>
        <v>4</v>
      </c>
      <c r="J134" s="37" t="str">
        <f>IF(COUNTIF($A$2:A134,A134)=1,"New","Repeat")</f>
        <v>Repeat</v>
      </c>
      <c r="K134" s="37">
        <f ca="1">IFERROR(__xludf.DUMMYFUNCTION("IF(I134=""4+"",
   COUNTUNIQUE(FILTER(A:A, I:I&gt;=4)),
   COUNTUNIQUE(FILTER(A:A, I:I=I134))
)"),32)</f>
        <v>32</v>
      </c>
      <c r="L134" s="36"/>
      <c r="M134" s="36"/>
      <c r="N134" s="36"/>
    </row>
    <row r="135" spans="1:14" ht="15" x14ac:dyDescent="0.25">
      <c r="A135" s="33" t="s">
        <v>144</v>
      </c>
      <c r="B135" s="34">
        <v>46037</v>
      </c>
      <c r="C135" s="35" t="str">
        <f t="shared" si="5"/>
        <v>01-2026</v>
      </c>
      <c r="D135" s="36" t="s">
        <v>51</v>
      </c>
      <c r="E135" s="36" t="s">
        <v>145</v>
      </c>
      <c r="F135" s="37">
        <v>465.57</v>
      </c>
      <c r="G135" s="36" t="s">
        <v>25</v>
      </c>
      <c r="H135" s="37">
        <f t="shared" si="1"/>
        <v>1</v>
      </c>
      <c r="I135" s="37">
        <f t="shared" si="6"/>
        <v>5</v>
      </c>
      <c r="J135" s="37" t="str">
        <f>IF(COUNTIF($A$2:A135,A135)=1,"New","Repeat")</f>
        <v>New</v>
      </c>
      <c r="K135" s="37">
        <f ca="1">IFERROR(__xludf.DUMMYFUNCTION("IF(I135=""4+"",
   COUNTUNIQUE(FILTER(A:A, I:I&gt;=4)),
   COUNTUNIQUE(FILTER(A:A, I:I=I135))
)"),34)</f>
        <v>34</v>
      </c>
      <c r="L135" s="36"/>
      <c r="M135" s="36"/>
      <c r="N135" s="36"/>
    </row>
    <row r="136" spans="1:14" ht="15" x14ac:dyDescent="0.25">
      <c r="A136" s="33" t="s">
        <v>146</v>
      </c>
      <c r="B136" s="34">
        <v>46061</v>
      </c>
      <c r="C136" s="35" t="str">
        <f t="shared" si="5"/>
        <v>02-2026</v>
      </c>
      <c r="D136" s="36" t="s">
        <v>35</v>
      </c>
      <c r="E136" s="36" t="s">
        <v>39</v>
      </c>
      <c r="F136" s="37">
        <v>448.16</v>
      </c>
      <c r="G136" s="36" t="s">
        <v>25</v>
      </c>
      <c r="H136" s="37">
        <f t="shared" si="1"/>
        <v>1</v>
      </c>
      <c r="I136" s="37">
        <f t="shared" si="6"/>
        <v>4</v>
      </c>
      <c r="J136" s="37" t="str">
        <f>IF(COUNTIF($A$2:A136,A136)=1,"New","Repeat")</f>
        <v>New</v>
      </c>
      <c r="K136" s="37">
        <f ca="1">IFERROR(__xludf.DUMMYFUNCTION("IF(I136=""4+"",
   COUNTUNIQUE(FILTER(A:A, I:I&gt;=4)),
   COUNTUNIQUE(FILTER(A:A, I:I=I136))
)"),32)</f>
        <v>32</v>
      </c>
      <c r="L136" s="36"/>
      <c r="M136" s="36"/>
      <c r="N136" s="36"/>
    </row>
    <row r="137" spans="1:14" ht="15" x14ac:dyDescent="0.25">
      <c r="A137" s="33" t="s">
        <v>44</v>
      </c>
      <c r="B137" s="34">
        <v>46027</v>
      </c>
      <c r="C137" s="35" t="str">
        <f t="shared" si="5"/>
        <v>01-2026</v>
      </c>
      <c r="D137" s="36" t="s">
        <v>14</v>
      </c>
      <c r="E137" s="36" t="s">
        <v>59</v>
      </c>
      <c r="F137" s="37">
        <v>436.06</v>
      </c>
      <c r="G137" s="36" t="s">
        <v>25</v>
      </c>
      <c r="H137" s="37">
        <f t="shared" si="1"/>
        <v>1</v>
      </c>
      <c r="I137" s="37">
        <f t="shared" si="6"/>
        <v>5</v>
      </c>
      <c r="J137" s="37" t="str">
        <f>IF(COUNTIF($A$2:A137,A137)=1,"New","Repeat")</f>
        <v>Repeat</v>
      </c>
      <c r="K137" s="37">
        <f ca="1">IFERROR(__xludf.DUMMYFUNCTION("IF(I137=""4+"",
   COUNTUNIQUE(FILTER(A:A, I:I&gt;=4)),
   COUNTUNIQUE(FILTER(A:A, I:I=I137))
)"),34)</f>
        <v>34</v>
      </c>
      <c r="L137" s="36"/>
      <c r="M137" s="36"/>
      <c r="N137" s="36"/>
    </row>
    <row r="138" spans="1:14" ht="15" x14ac:dyDescent="0.25">
      <c r="A138" s="33" t="s">
        <v>147</v>
      </c>
      <c r="B138" s="34">
        <v>45805</v>
      </c>
      <c r="C138" s="35" t="str">
        <f t="shared" si="5"/>
        <v>05-2025</v>
      </c>
      <c r="D138" s="36" t="s">
        <v>28</v>
      </c>
      <c r="E138" s="36" t="s">
        <v>74</v>
      </c>
      <c r="F138" s="37">
        <v>19.55</v>
      </c>
      <c r="G138" s="36" t="s">
        <v>37</v>
      </c>
      <c r="H138" s="37">
        <f t="shared" si="1"/>
        <v>1</v>
      </c>
      <c r="I138" s="37">
        <f t="shared" si="6"/>
        <v>2</v>
      </c>
      <c r="J138" s="37" t="str">
        <f>IF(COUNTIF($A$2:A138,A138)=1,"New","Repeat")</f>
        <v>New</v>
      </c>
      <c r="K138" s="37">
        <f ca="1">IFERROR(__xludf.DUMMYFUNCTION("IF(I138=""4+"",
   COUNTUNIQUE(FILTER(A:A, I:I&gt;=4)),
   COUNTUNIQUE(FILTER(A:A, I:I=I138))
)"),37)</f>
        <v>37</v>
      </c>
      <c r="L138" s="36"/>
      <c r="M138" s="36"/>
      <c r="N138" s="36"/>
    </row>
    <row r="139" spans="1:14" ht="15" x14ac:dyDescent="0.25">
      <c r="A139" s="33" t="s">
        <v>148</v>
      </c>
      <c r="B139" s="34">
        <v>46058</v>
      </c>
      <c r="C139" s="35" t="str">
        <f t="shared" si="5"/>
        <v>02-2026</v>
      </c>
      <c r="D139" s="36" t="s">
        <v>28</v>
      </c>
      <c r="E139" s="36" t="s">
        <v>74</v>
      </c>
      <c r="F139" s="37">
        <v>160.74</v>
      </c>
      <c r="G139" s="36" t="s">
        <v>16</v>
      </c>
      <c r="H139" s="37">
        <f t="shared" si="1"/>
        <v>1</v>
      </c>
      <c r="I139" s="37">
        <f t="shared" si="6"/>
        <v>6</v>
      </c>
      <c r="J139" s="37" t="str">
        <f>IF(COUNTIF($A$2:A139,A139)=1,"New","Repeat")</f>
        <v>New</v>
      </c>
      <c r="K139" s="37">
        <f ca="1">IFERROR(__xludf.DUMMYFUNCTION("IF(I139=""4+"",
   COUNTUNIQUE(FILTER(A:A, I:I&gt;=4)),
   COUNTUNIQUE(FILTER(A:A, I:I=I139))
)"),19)</f>
        <v>19</v>
      </c>
      <c r="L139" s="36"/>
      <c r="M139" s="36"/>
      <c r="N139" s="36"/>
    </row>
    <row r="140" spans="1:14" ht="15" x14ac:dyDescent="0.25">
      <c r="A140" s="33" t="s">
        <v>128</v>
      </c>
      <c r="B140" s="39">
        <v>46015</v>
      </c>
      <c r="C140" s="35" t="str">
        <f t="shared" si="5"/>
        <v>12-2025</v>
      </c>
      <c r="D140" s="36" t="s">
        <v>14</v>
      </c>
      <c r="E140" s="36" t="s">
        <v>15</v>
      </c>
      <c r="F140" s="37">
        <v>27.41</v>
      </c>
      <c r="G140" s="36" t="s">
        <v>37</v>
      </c>
      <c r="H140" s="37">
        <f t="shared" si="1"/>
        <v>1</v>
      </c>
      <c r="I140" s="37">
        <f t="shared" si="6"/>
        <v>6</v>
      </c>
      <c r="J140" s="37" t="str">
        <f>IF(COUNTIF($A$2:A140,A140)=1,"New","Repeat")</f>
        <v>Repeat</v>
      </c>
      <c r="K140" s="37">
        <f ca="1">IFERROR(__xludf.DUMMYFUNCTION("IF(I140=""4+"",
   COUNTUNIQUE(FILTER(A:A, I:I&gt;=4)),
   COUNTUNIQUE(FILTER(A:A, I:I=I140))
)"),19)</f>
        <v>19</v>
      </c>
      <c r="L140" s="36"/>
      <c r="M140" s="36"/>
      <c r="N140" s="36"/>
    </row>
    <row r="141" spans="1:14" ht="15" x14ac:dyDescent="0.25">
      <c r="A141" s="33" t="s">
        <v>26</v>
      </c>
      <c r="B141" s="34">
        <v>45721</v>
      </c>
      <c r="C141" s="35" t="str">
        <f t="shared" si="5"/>
        <v>03-2025</v>
      </c>
      <c r="D141" s="36" t="s">
        <v>28</v>
      </c>
      <c r="E141" s="36" t="s">
        <v>74</v>
      </c>
      <c r="F141" s="37">
        <v>430.66</v>
      </c>
      <c r="G141" s="36" t="s">
        <v>37</v>
      </c>
      <c r="H141" s="37">
        <f t="shared" si="1"/>
        <v>1</v>
      </c>
      <c r="I141" s="37">
        <f t="shared" si="6"/>
        <v>9</v>
      </c>
      <c r="J141" s="37" t="str">
        <f>IF(COUNTIF($A$2:A141,A141)=1,"New","Repeat")</f>
        <v>Repeat</v>
      </c>
      <c r="K141" s="37">
        <f ca="1">IFERROR(__xludf.DUMMYFUNCTION("IF(I141=""4+"",
   COUNTUNIQUE(FILTER(A:A, I:I&gt;=4)),
   COUNTUNIQUE(FILTER(A:A, I:I=I141))
)"),2)</f>
        <v>2</v>
      </c>
      <c r="L141" s="36"/>
      <c r="M141" s="36"/>
      <c r="N141" s="36"/>
    </row>
    <row r="142" spans="1:14" ht="15" x14ac:dyDescent="0.25">
      <c r="A142" s="33" t="s">
        <v>123</v>
      </c>
      <c r="B142" s="34">
        <v>45889</v>
      </c>
      <c r="C142" s="35" t="str">
        <f t="shared" si="5"/>
        <v>08-2025</v>
      </c>
      <c r="D142" s="36" t="s">
        <v>18</v>
      </c>
      <c r="E142" s="36" t="s">
        <v>65</v>
      </c>
      <c r="F142" s="37">
        <v>215.51</v>
      </c>
      <c r="G142" s="36" t="s">
        <v>22</v>
      </c>
      <c r="H142" s="37">
        <f t="shared" si="1"/>
        <v>1</v>
      </c>
      <c r="I142" s="37">
        <f t="shared" si="6"/>
        <v>4</v>
      </c>
      <c r="J142" s="37" t="str">
        <f>IF(COUNTIF($A$2:A142,A142)=1,"New","Repeat")</f>
        <v>Repeat</v>
      </c>
      <c r="K142" s="37">
        <f ca="1">IFERROR(__xludf.DUMMYFUNCTION("IF(I142=""4+"",
   COUNTUNIQUE(FILTER(A:A, I:I&gt;=4)),
   COUNTUNIQUE(FILTER(A:A, I:I=I142))
)"),32)</f>
        <v>32</v>
      </c>
      <c r="L142" s="36"/>
      <c r="M142" s="36"/>
      <c r="N142" s="36"/>
    </row>
    <row r="143" spans="1:14" ht="15" x14ac:dyDescent="0.25">
      <c r="A143" s="33" t="s">
        <v>149</v>
      </c>
      <c r="B143" s="39">
        <v>45950</v>
      </c>
      <c r="C143" s="35" t="str">
        <f t="shared" si="5"/>
        <v>10-2025</v>
      </c>
      <c r="D143" s="36" t="s">
        <v>18</v>
      </c>
      <c r="E143" s="36" t="s">
        <v>65</v>
      </c>
      <c r="F143" s="37">
        <v>377.18</v>
      </c>
      <c r="G143" s="36" t="s">
        <v>30</v>
      </c>
      <c r="H143" s="37">
        <f t="shared" si="1"/>
        <v>1</v>
      </c>
      <c r="I143" s="37">
        <f t="shared" si="6"/>
        <v>2</v>
      </c>
      <c r="J143" s="37" t="str">
        <f>IF(COUNTIF($A$2:A143,A143)=1,"New","Repeat")</f>
        <v>New</v>
      </c>
      <c r="K143" s="37">
        <f ca="1">IFERROR(__xludf.DUMMYFUNCTION("IF(I143=""4+"",
   COUNTUNIQUE(FILTER(A:A, I:I&gt;=4)),
   COUNTUNIQUE(FILTER(A:A, I:I=I143))
)"),37)</f>
        <v>37</v>
      </c>
      <c r="L143" s="36"/>
      <c r="M143" s="36"/>
      <c r="N143" s="36"/>
    </row>
    <row r="144" spans="1:14" ht="15" x14ac:dyDescent="0.25">
      <c r="A144" s="33" t="s">
        <v>61</v>
      </c>
      <c r="B144" s="34">
        <v>45763</v>
      </c>
      <c r="C144" s="35" t="str">
        <f t="shared" si="5"/>
        <v>04-2025</v>
      </c>
      <c r="D144" s="36" t="s">
        <v>51</v>
      </c>
      <c r="E144" s="36" t="s">
        <v>72</v>
      </c>
      <c r="F144" s="37">
        <v>411.2</v>
      </c>
      <c r="G144" s="36" t="s">
        <v>70</v>
      </c>
      <c r="H144" s="37">
        <f t="shared" si="1"/>
        <v>1</v>
      </c>
      <c r="I144" s="37">
        <f t="shared" si="6"/>
        <v>6</v>
      </c>
      <c r="J144" s="37" t="str">
        <f>IF(COUNTIF($A$2:A144,A144)=1,"New","Repeat")</f>
        <v>Repeat</v>
      </c>
      <c r="K144" s="37">
        <f ca="1">IFERROR(__xludf.DUMMYFUNCTION("IF(I144=""4+"",
   COUNTUNIQUE(FILTER(A:A, I:I&gt;=4)),
   COUNTUNIQUE(FILTER(A:A, I:I=I144))
)"),19)</f>
        <v>19</v>
      </c>
      <c r="L144" s="36"/>
      <c r="M144" s="36"/>
      <c r="N144" s="36"/>
    </row>
    <row r="145" spans="1:14" ht="15" x14ac:dyDescent="0.25">
      <c r="A145" s="33" t="s">
        <v>150</v>
      </c>
      <c r="B145" s="34">
        <v>45749</v>
      </c>
      <c r="C145" s="35" t="str">
        <f t="shared" si="5"/>
        <v>04-2025</v>
      </c>
      <c r="D145" s="36" t="s">
        <v>28</v>
      </c>
      <c r="E145" s="36" t="s">
        <v>45</v>
      </c>
      <c r="F145" s="37">
        <v>137.6</v>
      </c>
      <c r="G145" s="36" t="s">
        <v>30</v>
      </c>
      <c r="H145" s="37">
        <f t="shared" si="1"/>
        <v>1</v>
      </c>
      <c r="I145" s="37">
        <f t="shared" si="6"/>
        <v>9</v>
      </c>
      <c r="J145" s="37" t="str">
        <f>IF(COUNTIF($A$2:A145,A145)=1,"New","Repeat")</f>
        <v>New</v>
      </c>
      <c r="K145" s="37">
        <f ca="1">IFERROR(__xludf.DUMMYFUNCTION("IF(I145=""4+"",
   COUNTUNIQUE(FILTER(A:A, I:I&gt;=4)),
   COUNTUNIQUE(FILTER(A:A, I:I=I145))
)"),2)</f>
        <v>2</v>
      </c>
      <c r="L145" s="36"/>
      <c r="M145" s="36"/>
      <c r="N145" s="36"/>
    </row>
    <row r="146" spans="1:14" ht="15" x14ac:dyDescent="0.25">
      <c r="A146" s="33" t="s">
        <v>151</v>
      </c>
      <c r="B146" s="34">
        <v>45793</v>
      </c>
      <c r="C146" s="35" t="str">
        <f t="shared" si="5"/>
        <v>05-2025</v>
      </c>
      <c r="D146" s="36" t="s">
        <v>14</v>
      </c>
      <c r="E146" s="36" t="s">
        <v>59</v>
      </c>
      <c r="F146" s="37">
        <v>167.03</v>
      </c>
      <c r="G146" s="36" t="s">
        <v>33</v>
      </c>
      <c r="H146" s="37">
        <f t="shared" si="1"/>
        <v>1</v>
      </c>
      <c r="I146" s="37">
        <f t="shared" si="6"/>
        <v>5</v>
      </c>
      <c r="J146" s="37" t="str">
        <f>IF(COUNTIF($A$2:A146,A146)=1,"New","Repeat")</f>
        <v>New</v>
      </c>
      <c r="K146" s="37">
        <f ca="1">IFERROR(__xludf.DUMMYFUNCTION("IF(I146=""4+"",
   COUNTUNIQUE(FILTER(A:A, I:I&gt;=4)),
   COUNTUNIQUE(FILTER(A:A, I:I=I146))
)"),34)</f>
        <v>34</v>
      </c>
      <c r="L146" s="36"/>
      <c r="M146" s="36"/>
      <c r="N146" s="36"/>
    </row>
    <row r="147" spans="1:14" ht="15" x14ac:dyDescent="0.25">
      <c r="A147" s="33" t="s">
        <v>75</v>
      </c>
      <c r="B147" s="34">
        <v>45917</v>
      </c>
      <c r="C147" s="35" t="str">
        <f t="shared" si="5"/>
        <v>09-2025</v>
      </c>
      <c r="D147" s="36" t="s">
        <v>35</v>
      </c>
      <c r="E147" s="36" t="s">
        <v>54</v>
      </c>
      <c r="F147" s="37">
        <v>30.14</v>
      </c>
      <c r="G147" s="36" t="s">
        <v>16</v>
      </c>
      <c r="H147" s="37">
        <f t="shared" si="1"/>
        <v>1</v>
      </c>
      <c r="I147" s="37">
        <f t="shared" si="6"/>
        <v>3</v>
      </c>
      <c r="J147" s="37" t="str">
        <f>IF(COUNTIF($A$2:A147,A147)=1,"New","Repeat")</f>
        <v>Repeat</v>
      </c>
      <c r="K147" s="37">
        <f ca="1">IFERROR(__xludf.DUMMYFUNCTION("IF(I147=""4+"",
   COUNTUNIQUE(FILTER(A:A, I:I&gt;=4)),
   COUNTUNIQUE(FILTER(A:A, I:I=I147))
)"),42)</f>
        <v>42</v>
      </c>
      <c r="L147" s="36"/>
      <c r="M147" s="36"/>
      <c r="N147" s="36"/>
    </row>
    <row r="148" spans="1:14" ht="15" x14ac:dyDescent="0.25">
      <c r="A148" s="33" t="s">
        <v>152</v>
      </c>
      <c r="B148" s="39">
        <v>45958</v>
      </c>
      <c r="C148" s="35" t="str">
        <f t="shared" si="5"/>
        <v>10-2025</v>
      </c>
      <c r="D148" s="36" t="s">
        <v>18</v>
      </c>
      <c r="E148" s="36" t="s">
        <v>21</v>
      </c>
      <c r="F148" s="37">
        <v>50.87</v>
      </c>
      <c r="G148" s="36" t="s">
        <v>16</v>
      </c>
      <c r="H148" s="37">
        <f t="shared" si="1"/>
        <v>1</v>
      </c>
      <c r="I148" s="37">
        <f t="shared" si="6"/>
        <v>5</v>
      </c>
      <c r="J148" s="37" t="str">
        <f>IF(COUNTIF($A$2:A148,A148)=1,"New","Repeat")</f>
        <v>New</v>
      </c>
      <c r="K148" s="37">
        <f ca="1">IFERROR(__xludf.DUMMYFUNCTION("IF(I148=""4+"",
   COUNTUNIQUE(FILTER(A:A, I:I&gt;=4)),
   COUNTUNIQUE(FILTER(A:A, I:I=I148))
)"),34)</f>
        <v>34</v>
      </c>
      <c r="L148" s="36"/>
      <c r="M148" s="36"/>
      <c r="N148" s="36"/>
    </row>
    <row r="149" spans="1:14" ht="15" x14ac:dyDescent="0.25">
      <c r="A149" s="33" t="s">
        <v>153</v>
      </c>
      <c r="B149" s="39">
        <v>45960</v>
      </c>
      <c r="C149" s="35" t="str">
        <f t="shared" si="5"/>
        <v>10-2025</v>
      </c>
      <c r="D149" s="36" t="s">
        <v>18</v>
      </c>
      <c r="E149" s="36" t="s">
        <v>24</v>
      </c>
      <c r="F149" s="37">
        <v>233.44</v>
      </c>
      <c r="G149" s="36" t="s">
        <v>30</v>
      </c>
      <c r="H149" s="37">
        <f t="shared" si="1"/>
        <v>1</v>
      </c>
      <c r="I149" s="37">
        <f t="shared" si="6"/>
        <v>3</v>
      </c>
      <c r="J149" s="37" t="str">
        <f>IF(COUNTIF($A$2:A149,A149)=1,"New","Repeat")</f>
        <v>New</v>
      </c>
      <c r="K149" s="37">
        <f ca="1">IFERROR(__xludf.DUMMYFUNCTION("IF(I149=""4+"",
   COUNTUNIQUE(FILTER(A:A, I:I&gt;=4)),
   COUNTUNIQUE(FILTER(A:A, I:I=I149))
)"),42)</f>
        <v>42</v>
      </c>
      <c r="L149" s="36"/>
      <c r="M149" s="36"/>
      <c r="N149" s="36"/>
    </row>
    <row r="150" spans="1:14" ht="15" x14ac:dyDescent="0.25">
      <c r="A150" s="33" t="s">
        <v>128</v>
      </c>
      <c r="B150" s="39">
        <v>46017</v>
      </c>
      <c r="C150" s="35" t="str">
        <f t="shared" si="5"/>
        <v>12-2025</v>
      </c>
      <c r="D150" s="36" t="s">
        <v>35</v>
      </c>
      <c r="E150" s="36" t="s">
        <v>93</v>
      </c>
      <c r="F150" s="37">
        <v>477.06</v>
      </c>
      <c r="G150" s="36" t="s">
        <v>16</v>
      </c>
      <c r="H150" s="37">
        <f t="shared" si="1"/>
        <v>1</v>
      </c>
      <c r="I150" s="37">
        <f t="shared" si="6"/>
        <v>6</v>
      </c>
      <c r="J150" s="37" t="str">
        <f>IF(COUNTIF($A$2:A150,A150)=1,"New","Repeat")</f>
        <v>Repeat</v>
      </c>
      <c r="K150" s="37">
        <f ca="1">IFERROR(__xludf.DUMMYFUNCTION("IF(I150=""4+"",
   COUNTUNIQUE(FILTER(A:A, I:I&gt;=4)),
   COUNTUNIQUE(FILTER(A:A, I:I=I150))
)"),19)</f>
        <v>19</v>
      </c>
      <c r="L150" s="36"/>
      <c r="M150" s="36"/>
      <c r="N150" s="36"/>
    </row>
    <row r="151" spans="1:14" ht="15" x14ac:dyDescent="0.25">
      <c r="A151" s="33" t="s">
        <v>102</v>
      </c>
      <c r="B151" s="34">
        <v>45900</v>
      </c>
      <c r="C151" s="35" t="str">
        <f t="shared" si="5"/>
        <v>08-2025</v>
      </c>
      <c r="D151" s="36" t="s">
        <v>18</v>
      </c>
      <c r="E151" s="36" t="s">
        <v>19</v>
      </c>
      <c r="F151" s="37">
        <v>132.33000000000001</v>
      </c>
      <c r="G151" s="36" t="s">
        <v>30</v>
      </c>
      <c r="H151" s="37">
        <f t="shared" si="1"/>
        <v>1</v>
      </c>
      <c r="I151" s="37">
        <f t="shared" si="6"/>
        <v>5</v>
      </c>
      <c r="J151" s="37" t="str">
        <f>IF(COUNTIF($A$2:A151,A151)=1,"New","Repeat")</f>
        <v>Repeat</v>
      </c>
      <c r="K151" s="37">
        <f ca="1">IFERROR(__xludf.DUMMYFUNCTION("IF(I151=""4+"",
   COUNTUNIQUE(FILTER(A:A, I:I&gt;=4)),
   COUNTUNIQUE(FILTER(A:A, I:I=I151))
)"),34)</f>
        <v>34</v>
      </c>
      <c r="L151" s="36"/>
      <c r="M151" s="36"/>
      <c r="N151" s="36"/>
    </row>
    <row r="152" spans="1:14" ht="15" x14ac:dyDescent="0.25">
      <c r="A152" s="33" t="s">
        <v>26</v>
      </c>
      <c r="B152" s="34">
        <v>45876</v>
      </c>
      <c r="C152" s="35" t="str">
        <f t="shared" si="5"/>
        <v>08-2025</v>
      </c>
      <c r="D152" s="36" t="s">
        <v>18</v>
      </c>
      <c r="E152" s="36" t="s">
        <v>19</v>
      </c>
      <c r="F152" s="37">
        <v>404.55</v>
      </c>
      <c r="G152" s="36" t="s">
        <v>22</v>
      </c>
      <c r="H152" s="37">
        <f t="shared" si="1"/>
        <v>1</v>
      </c>
      <c r="I152" s="37">
        <f t="shared" si="6"/>
        <v>9</v>
      </c>
      <c r="J152" s="37" t="str">
        <f>IF(COUNTIF($A$2:A152,A152)=1,"New","Repeat")</f>
        <v>Repeat</v>
      </c>
      <c r="K152" s="37">
        <f ca="1">IFERROR(__xludf.DUMMYFUNCTION("IF(I152=""4+"",
   COUNTUNIQUE(FILTER(A:A, I:I&gt;=4)),
   COUNTUNIQUE(FILTER(A:A, I:I=I152))
)"),2)</f>
        <v>2</v>
      </c>
      <c r="L152" s="36"/>
      <c r="M152" s="36"/>
      <c r="N152" s="36"/>
    </row>
    <row r="153" spans="1:14" ht="15" x14ac:dyDescent="0.25">
      <c r="A153" s="33" t="s">
        <v>154</v>
      </c>
      <c r="B153" s="34">
        <v>45714</v>
      </c>
      <c r="C153" s="35" t="str">
        <f t="shared" si="5"/>
        <v>02-2025</v>
      </c>
      <c r="D153" s="36" t="s">
        <v>28</v>
      </c>
      <c r="E153" s="36" t="s">
        <v>74</v>
      </c>
      <c r="F153" s="37">
        <v>41.66</v>
      </c>
      <c r="G153" s="36" t="s">
        <v>16</v>
      </c>
      <c r="H153" s="37">
        <f t="shared" si="1"/>
        <v>1</v>
      </c>
      <c r="I153" s="37">
        <f t="shared" si="6"/>
        <v>2</v>
      </c>
      <c r="J153" s="37" t="str">
        <f>IF(COUNTIF($A$2:A153,A153)=1,"New","Repeat")</f>
        <v>New</v>
      </c>
      <c r="K153" s="37">
        <f ca="1">IFERROR(__xludf.DUMMYFUNCTION("IF(I153=""4+"",
   COUNTUNIQUE(FILTER(A:A, I:I&gt;=4)),
   COUNTUNIQUE(FILTER(A:A, I:I=I153))
)"),37)</f>
        <v>37</v>
      </c>
      <c r="L153" s="36"/>
      <c r="M153" s="36"/>
      <c r="N153" s="36"/>
    </row>
    <row r="154" spans="1:14" ht="15" x14ac:dyDescent="0.25">
      <c r="A154" s="33" t="s">
        <v>146</v>
      </c>
      <c r="B154" s="34">
        <v>45876</v>
      </c>
      <c r="C154" s="35" t="str">
        <f t="shared" si="5"/>
        <v>08-2025</v>
      </c>
      <c r="D154" s="36" t="s">
        <v>51</v>
      </c>
      <c r="E154" s="36" t="s">
        <v>68</v>
      </c>
      <c r="F154" s="37">
        <v>103.68</v>
      </c>
      <c r="G154" s="36" t="s">
        <v>37</v>
      </c>
      <c r="H154" s="37">
        <f t="shared" si="1"/>
        <v>1</v>
      </c>
      <c r="I154" s="37">
        <f t="shared" si="6"/>
        <v>4</v>
      </c>
      <c r="J154" s="37" t="str">
        <f>IF(COUNTIF($A$2:A154,A154)=1,"New","Repeat")</f>
        <v>Repeat</v>
      </c>
      <c r="K154" s="37">
        <f ca="1">IFERROR(__xludf.DUMMYFUNCTION("IF(I154=""4+"",
   COUNTUNIQUE(FILTER(A:A, I:I&gt;=4)),
   COUNTUNIQUE(FILTER(A:A, I:I=I154))
)"),32)</f>
        <v>32</v>
      </c>
      <c r="L154" s="36"/>
      <c r="M154" s="36"/>
      <c r="N154" s="36"/>
    </row>
    <row r="155" spans="1:14" ht="15" x14ac:dyDescent="0.25">
      <c r="A155" s="33" t="s">
        <v>130</v>
      </c>
      <c r="B155" s="39">
        <v>46010</v>
      </c>
      <c r="C155" s="35" t="str">
        <f t="shared" si="5"/>
        <v>12-2025</v>
      </c>
      <c r="D155" s="36" t="s">
        <v>28</v>
      </c>
      <c r="E155" s="36" t="s">
        <v>74</v>
      </c>
      <c r="F155" s="37">
        <v>362.23</v>
      </c>
      <c r="G155" s="36" t="s">
        <v>70</v>
      </c>
      <c r="H155" s="37">
        <f t="shared" si="1"/>
        <v>1</v>
      </c>
      <c r="I155" s="37">
        <f t="shared" si="6"/>
        <v>5</v>
      </c>
      <c r="J155" s="37" t="str">
        <f>IF(COUNTIF($A$2:A155,A155)=1,"New","Repeat")</f>
        <v>Repeat</v>
      </c>
      <c r="K155" s="37">
        <f ca="1">IFERROR(__xludf.DUMMYFUNCTION("IF(I155=""4+"",
   COUNTUNIQUE(FILTER(A:A, I:I&gt;=4)),
   COUNTUNIQUE(FILTER(A:A, I:I=I155))
)"),34)</f>
        <v>34</v>
      </c>
      <c r="L155" s="36"/>
      <c r="M155" s="36"/>
      <c r="N155" s="36"/>
    </row>
    <row r="156" spans="1:14" ht="15" x14ac:dyDescent="0.25">
      <c r="A156" s="33" t="s">
        <v>81</v>
      </c>
      <c r="B156" s="34">
        <v>46075</v>
      </c>
      <c r="C156" s="35" t="str">
        <f t="shared" si="5"/>
        <v>02-2026</v>
      </c>
      <c r="D156" s="36" t="s">
        <v>18</v>
      </c>
      <c r="E156" s="36" t="s">
        <v>24</v>
      </c>
      <c r="F156" s="37">
        <v>224.18</v>
      </c>
      <c r="G156" s="36" t="s">
        <v>37</v>
      </c>
      <c r="H156" s="37">
        <f t="shared" si="1"/>
        <v>1</v>
      </c>
      <c r="I156" s="37">
        <f t="shared" si="6"/>
        <v>10</v>
      </c>
      <c r="J156" s="37" t="str">
        <f>IF(COUNTIF($A$2:A156,A156)=1,"New","Repeat")</f>
        <v>Repeat</v>
      </c>
      <c r="K156" s="37">
        <f ca="1">IFERROR(__xludf.DUMMYFUNCTION("IF(I156=""4+"",
   COUNTUNIQUE(FILTER(A:A, I:I&gt;=4)),
   COUNTUNIQUE(FILTER(A:A, I:I=I156))
)"),1)</f>
        <v>1</v>
      </c>
      <c r="L156" s="36"/>
      <c r="M156" s="36"/>
      <c r="N156" s="36"/>
    </row>
    <row r="157" spans="1:14" ht="15" x14ac:dyDescent="0.25">
      <c r="A157" s="33" t="s">
        <v>155</v>
      </c>
      <c r="B157" s="34">
        <v>45966</v>
      </c>
      <c r="C157" s="35" t="str">
        <f t="shared" si="5"/>
        <v>11-2025</v>
      </c>
      <c r="D157" s="36" t="s">
        <v>28</v>
      </c>
      <c r="E157" s="36" t="s">
        <v>74</v>
      </c>
      <c r="F157" s="37">
        <v>361.65</v>
      </c>
      <c r="G157" s="36" t="s">
        <v>16</v>
      </c>
      <c r="H157" s="37">
        <f t="shared" si="1"/>
        <v>1</v>
      </c>
      <c r="I157" s="37">
        <f t="shared" si="6"/>
        <v>2</v>
      </c>
      <c r="J157" s="37" t="str">
        <f>IF(COUNTIF($A$2:A157,A157)=1,"New","Repeat")</f>
        <v>New</v>
      </c>
      <c r="K157" s="37">
        <f ca="1">IFERROR(__xludf.DUMMYFUNCTION("IF(I157=""4+"",
   COUNTUNIQUE(FILTER(A:A, I:I&gt;=4)),
   COUNTUNIQUE(FILTER(A:A, I:I=I157))
)"),37)</f>
        <v>37</v>
      </c>
      <c r="L157" s="36"/>
      <c r="M157" s="36"/>
      <c r="N157" s="36"/>
    </row>
    <row r="158" spans="1:14" ht="15" x14ac:dyDescent="0.25">
      <c r="A158" s="33" t="s">
        <v>122</v>
      </c>
      <c r="B158" s="34">
        <v>45915</v>
      </c>
      <c r="C158" s="35" t="str">
        <f t="shared" si="5"/>
        <v>09-2025</v>
      </c>
      <c r="D158" s="36" t="s">
        <v>51</v>
      </c>
      <c r="E158" s="36" t="s">
        <v>145</v>
      </c>
      <c r="F158" s="37">
        <v>107.31</v>
      </c>
      <c r="G158" s="36" t="s">
        <v>22</v>
      </c>
      <c r="H158" s="37">
        <f t="shared" si="1"/>
        <v>1</v>
      </c>
      <c r="I158" s="37">
        <f t="shared" si="6"/>
        <v>5</v>
      </c>
      <c r="J158" s="37" t="str">
        <f>IF(COUNTIF($A$2:A158,A158)=1,"New","Repeat")</f>
        <v>Repeat</v>
      </c>
      <c r="K158" s="37">
        <f ca="1">IFERROR(__xludf.DUMMYFUNCTION("IF(I158=""4+"",
   COUNTUNIQUE(FILTER(A:A, I:I&gt;=4)),
   COUNTUNIQUE(FILTER(A:A, I:I=I158))
)"),34)</f>
        <v>34</v>
      </c>
      <c r="L158" s="36"/>
      <c r="M158" s="36"/>
      <c r="N158" s="36"/>
    </row>
    <row r="159" spans="1:14" ht="15" x14ac:dyDescent="0.25">
      <c r="A159" s="33" t="s">
        <v>156</v>
      </c>
      <c r="B159" s="34">
        <v>46051</v>
      </c>
      <c r="C159" s="35" t="str">
        <f t="shared" si="5"/>
        <v>01-2026</v>
      </c>
      <c r="D159" s="36" t="s">
        <v>51</v>
      </c>
      <c r="E159" s="36" t="s">
        <v>68</v>
      </c>
      <c r="F159" s="37">
        <v>483.13</v>
      </c>
      <c r="G159" s="36" t="s">
        <v>33</v>
      </c>
      <c r="H159" s="37">
        <f t="shared" si="1"/>
        <v>1</v>
      </c>
      <c r="I159" s="37">
        <f t="shared" si="6"/>
        <v>3</v>
      </c>
      <c r="J159" s="37" t="str">
        <f>IF(COUNTIF($A$2:A159,A159)=1,"New","Repeat")</f>
        <v>New</v>
      </c>
      <c r="K159" s="37">
        <f ca="1">IFERROR(__xludf.DUMMYFUNCTION("IF(I159=""4+"",
   COUNTUNIQUE(FILTER(A:A, I:I&gt;=4)),
   COUNTUNIQUE(FILTER(A:A, I:I=I159))
)"),42)</f>
        <v>42</v>
      </c>
      <c r="L159" s="36"/>
      <c r="M159" s="36"/>
      <c r="N159" s="36"/>
    </row>
    <row r="160" spans="1:14" ht="15" x14ac:dyDescent="0.25">
      <c r="A160" s="33" t="s">
        <v>92</v>
      </c>
      <c r="B160" s="34">
        <v>46058</v>
      </c>
      <c r="C160" s="35" t="str">
        <f t="shared" si="5"/>
        <v>02-2026</v>
      </c>
      <c r="D160" s="36" t="s">
        <v>51</v>
      </c>
      <c r="E160" s="36" t="s">
        <v>68</v>
      </c>
      <c r="F160" s="37">
        <v>329.7</v>
      </c>
      <c r="G160" s="36" t="s">
        <v>22</v>
      </c>
      <c r="H160" s="37">
        <f t="shared" si="1"/>
        <v>1</v>
      </c>
      <c r="I160" s="37">
        <f t="shared" si="6"/>
        <v>6</v>
      </c>
      <c r="J160" s="37" t="str">
        <f>IF(COUNTIF($A$2:A160,A160)=1,"New","Repeat")</f>
        <v>Repeat</v>
      </c>
      <c r="K160" s="37">
        <f ca="1">IFERROR(__xludf.DUMMYFUNCTION("IF(I160=""4+"",
   COUNTUNIQUE(FILTER(A:A, I:I&gt;=4)),
   COUNTUNIQUE(FILTER(A:A, I:I=I160))
)"),19)</f>
        <v>19</v>
      </c>
      <c r="L160" s="36"/>
      <c r="M160" s="36"/>
      <c r="N160" s="36"/>
    </row>
    <row r="161" spans="1:14" ht="15" x14ac:dyDescent="0.25">
      <c r="A161" s="33" t="s">
        <v>135</v>
      </c>
      <c r="B161" s="39">
        <v>45981</v>
      </c>
      <c r="C161" s="35" t="str">
        <f t="shared" si="5"/>
        <v>11-2025</v>
      </c>
      <c r="D161" s="36" t="s">
        <v>35</v>
      </c>
      <c r="E161" s="36" t="s">
        <v>39</v>
      </c>
      <c r="F161" s="37">
        <v>150.28</v>
      </c>
      <c r="G161" s="36" t="s">
        <v>70</v>
      </c>
      <c r="H161" s="37">
        <f t="shared" si="1"/>
        <v>1</v>
      </c>
      <c r="I161" s="37">
        <f t="shared" si="6"/>
        <v>4</v>
      </c>
      <c r="J161" s="37" t="str">
        <f>IF(COUNTIF($A$2:A161,A161)=1,"New","Repeat")</f>
        <v>Repeat</v>
      </c>
      <c r="K161" s="37">
        <f ca="1">IFERROR(__xludf.DUMMYFUNCTION("IF(I161=""4+"",
   COUNTUNIQUE(FILTER(A:A, I:I&gt;=4)),
   COUNTUNIQUE(FILTER(A:A, I:I=I161))
)"),32)</f>
        <v>32</v>
      </c>
      <c r="L161" s="36"/>
      <c r="M161" s="36"/>
      <c r="N161" s="36"/>
    </row>
    <row r="162" spans="1:14" ht="15" x14ac:dyDescent="0.25">
      <c r="A162" s="33" t="s">
        <v>119</v>
      </c>
      <c r="B162" s="39">
        <v>45989</v>
      </c>
      <c r="C162" s="35" t="str">
        <f t="shared" si="5"/>
        <v>11-2025</v>
      </c>
      <c r="D162" s="36" t="s">
        <v>18</v>
      </c>
      <c r="E162" s="36" t="s">
        <v>65</v>
      </c>
      <c r="F162" s="37">
        <v>205.96</v>
      </c>
      <c r="G162" s="36" t="s">
        <v>33</v>
      </c>
      <c r="H162" s="37">
        <f t="shared" si="1"/>
        <v>1</v>
      </c>
      <c r="I162" s="37">
        <f t="shared" si="6"/>
        <v>6</v>
      </c>
      <c r="J162" s="37" t="str">
        <f>IF(COUNTIF($A$2:A162,A162)=1,"New","Repeat")</f>
        <v>Repeat</v>
      </c>
      <c r="K162" s="37">
        <f ca="1">IFERROR(__xludf.DUMMYFUNCTION("IF(I162=""4+"",
   COUNTUNIQUE(FILTER(A:A, I:I&gt;=4)),
   COUNTUNIQUE(FILTER(A:A, I:I=I162))
)"),19)</f>
        <v>19</v>
      </c>
      <c r="L162" s="36"/>
      <c r="M162" s="36"/>
      <c r="N162" s="36"/>
    </row>
    <row r="163" spans="1:14" ht="15" x14ac:dyDescent="0.25">
      <c r="A163" s="33" t="s">
        <v>76</v>
      </c>
      <c r="B163" s="39">
        <v>46021</v>
      </c>
      <c r="C163" s="35" t="str">
        <f t="shared" si="5"/>
        <v>12-2025</v>
      </c>
      <c r="D163" s="36" t="s">
        <v>18</v>
      </c>
      <c r="E163" s="36" t="s">
        <v>65</v>
      </c>
      <c r="F163" s="37">
        <v>230.64</v>
      </c>
      <c r="G163" s="36" t="s">
        <v>33</v>
      </c>
      <c r="H163" s="37">
        <f t="shared" si="1"/>
        <v>1</v>
      </c>
      <c r="I163" s="37">
        <f t="shared" si="6"/>
        <v>3</v>
      </c>
      <c r="J163" s="37" t="str">
        <f>IF(COUNTIF($A$2:A163,A163)=1,"New","Repeat")</f>
        <v>Repeat</v>
      </c>
      <c r="K163" s="37">
        <f ca="1">IFERROR(__xludf.DUMMYFUNCTION("IF(I163=""4+"",
   COUNTUNIQUE(FILTER(A:A, I:I&gt;=4)),
   COUNTUNIQUE(FILTER(A:A, I:I=I163))
)"),42)</f>
        <v>42</v>
      </c>
      <c r="L163" s="36"/>
      <c r="M163" s="36"/>
      <c r="N163" s="36"/>
    </row>
    <row r="164" spans="1:14" ht="15" x14ac:dyDescent="0.25">
      <c r="A164" s="33" t="s">
        <v>157</v>
      </c>
      <c r="B164" s="34">
        <v>46034</v>
      </c>
      <c r="C164" s="35" t="str">
        <f t="shared" si="5"/>
        <v>01-2026</v>
      </c>
      <c r="D164" s="36" t="s">
        <v>35</v>
      </c>
      <c r="E164" s="36" t="s">
        <v>39</v>
      </c>
      <c r="F164" s="37">
        <v>484.59</v>
      </c>
      <c r="G164" s="36" t="s">
        <v>70</v>
      </c>
      <c r="H164" s="37">
        <f t="shared" si="1"/>
        <v>1</v>
      </c>
      <c r="I164" s="37">
        <f t="shared" si="6"/>
        <v>5</v>
      </c>
      <c r="J164" s="37" t="str">
        <f>IF(COUNTIF($A$2:A164,A164)=1,"New","Repeat")</f>
        <v>New</v>
      </c>
      <c r="K164" s="37">
        <f ca="1">IFERROR(__xludf.DUMMYFUNCTION("IF(I164=""4+"",
   COUNTUNIQUE(FILTER(A:A, I:I&gt;=4)),
   COUNTUNIQUE(FILTER(A:A, I:I=I164))
)"),34)</f>
        <v>34</v>
      </c>
      <c r="L164" s="36"/>
      <c r="M164" s="36"/>
      <c r="N164" s="36"/>
    </row>
    <row r="165" spans="1:14" ht="15" x14ac:dyDescent="0.25">
      <c r="A165" s="33" t="s">
        <v>105</v>
      </c>
      <c r="B165" s="34">
        <v>45822</v>
      </c>
      <c r="C165" s="35" t="str">
        <f t="shared" si="5"/>
        <v>06-2025</v>
      </c>
      <c r="D165" s="36" t="s">
        <v>51</v>
      </c>
      <c r="E165" s="36" t="s">
        <v>52</v>
      </c>
      <c r="F165" s="37">
        <v>55.31</v>
      </c>
      <c r="G165" s="36" t="s">
        <v>16</v>
      </c>
      <c r="H165" s="37">
        <f t="shared" si="1"/>
        <v>1</v>
      </c>
      <c r="I165" s="37">
        <f t="shared" si="6"/>
        <v>5</v>
      </c>
      <c r="J165" s="37" t="str">
        <f>IF(COUNTIF($A$2:A165,A165)=1,"New","Repeat")</f>
        <v>Repeat</v>
      </c>
      <c r="K165" s="37">
        <f ca="1">IFERROR(__xludf.DUMMYFUNCTION("IF(I165=""4+"",
   COUNTUNIQUE(FILTER(A:A, I:I&gt;=4)),
   COUNTUNIQUE(FILTER(A:A, I:I=I165))
)"),34)</f>
        <v>34</v>
      </c>
      <c r="L165" s="36"/>
      <c r="M165" s="36"/>
      <c r="N165" s="36"/>
    </row>
    <row r="166" spans="1:14" ht="15" x14ac:dyDescent="0.25">
      <c r="A166" s="33" t="s">
        <v>118</v>
      </c>
      <c r="B166" s="34">
        <v>46071</v>
      </c>
      <c r="C166" s="35" t="str">
        <f t="shared" si="5"/>
        <v>02-2026</v>
      </c>
      <c r="D166" s="36" t="s">
        <v>18</v>
      </c>
      <c r="E166" s="36" t="s">
        <v>21</v>
      </c>
      <c r="F166" s="37">
        <v>390.38</v>
      </c>
      <c r="G166" s="36" t="s">
        <v>33</v>
      </c>
      <c r="H166" s="37">
        <f t="shared" si="1"/>
        <v>1</v>
      </c>
      <c r="I166" s="37">
        <f t="shared" si="6"/>
        <v>5</v>
      </c>
      <c r="J166" s="37" t="str">
        <f>IF(COUNTIF($A$2:A166,A166)=1,"New","Repeat")</f>
        <v>Repeat</v>
      </c>
      <c r="K166" s="37">
        <f ca="1">IFERROR(__xludf.DUMMYFUNCTION("IF(I166=""4+"",
   COUNTUNIQUE(FILTER(A:A, I:I&gt;=4)),
   COUNTUNIQUE(FILTER(A:A, I:I=I166))
)"),34)</f>
        <v>34</v>
      </c>
      <c r="L166" s="36"/>
      <c r="M166" s="36"/>
      <c r="N166" s="36"/>
    </row>
    <row r="167" spans="1:14" ht="15" x14ac:dyDescent="0.25">
      <c r="A167" s="33" t="s">
        <v>80</v>
      </c>
      <c r="B167" s="34">
        <v>46024</v>
      </c>
      <c r="C167" s="35" t="str">
        <f t="shared" si="5"/>
        <v>01-2026</v>
      </c>
      <c r="D167" s="36" t="s">
        <v>28</v>
      </c>
      <c r="E167" s="36" t="s">
        <v>45</v>
      </c>
      <c r="F167" s="37">
        <v>135.82</v>
      </c>
      <c r="G167" s="36" t="s">
        <v>25</v>
      </c>
      <c r="H167" s="37">
        <f t="shared" si="1"/>
        <v>1</v>
      </c>
      <c r="I167" s="37">
        <f t="shared" si="6"/>
        <v>6</v>
      </c>
      <c r="J167" s="37" t="str">
        <f>IF(COUNTIF($A$2:A167,A167)=1,"New","Repeat")</f>
        <v>Repeat</v>
      </c>
      <c r="K167" s="37">
        <f ca="1">IFERROR(__xludf.DUMMYFUNCTION("IF(I167=""4+"",
   COUNTUNIQUE(FILTER(A:A, I:I&gt;=4)),
   COUNTUNIQUE(FILTER(A:A, I:I=I167))
)"),19)</f>
        <v>19</v>
      </c>
      <c r="L167" s="36"/>
      <c r="M167" s="36"/>
      <c r="N167" s="36"/>
    </row>
    <row r="168" spans="1:14" ht="15" x14ac:dyDescent="0.25">
      <c r="A168" s="33" t="s">
        <v>102</v>
      </c>
      <c r="B168" s="34">
        <v>46047</v>
      </c>
      <c r="C168" s="35" t="str">
        <f t="shared" si="5"/>
        <v>01-2026</v>
      </c>
      <c r="D168" s="36" t="s">
        <v>18</v>
      </c>
      <c r="E168" s="36" t="s">
        <v>65</v>
      </c>
      <c r="F168" s="37">
        <v>497.42</v>
      </c>
      <c r="G168" s="36" t="s">
        <v>22</v>
      </c>
      <c r="H168" s="37">
        <f t="shared" si="1"/>
        <v>1</v>
      </c>
      <c r="I168" s="37">
        <f t="shared" si="6"/>
        <v>5</v>
      </c>
      <c r="J168" s="37" t="str">
        <f>IF(COUNTIF($A$2:A168,A168)=1,"New","Repeat")</f>
        <v>Repeat</v>
      </c>
      <c r="K168" s="37">
        <f ca="1">IFERROR(__xludf.DUMMYFUNCTION("IF(I168=""4+"",
   COUNTUNIQUE(FILTER(A:A, I:I&gt;=4)),
   COUNTUNIQUE(FILTER(A:A, I:I=I168))
)"),34)</f>
        <v>34</v>
      </c>
      <c r="L168" s="36"/>
      <c r="M168" s="36"/>
      <c r="N168" s="36"/>
    </row>
    <row r="169" spans="1:14" ht="15" x14ac:dyDescent="0.25">
      <c r="A169" s="33" t="s">
        <v>158</v>
      </c>
      <c r="B169" s="34">
        <v>45807</v>
      </c>
      <c r="C169" s="35" t="str">
        <f t="shared" si="5"/>
        <v>05-2025</v>
      </c>
      <c r="D169" s="36" t="s">
        <v>28</v>
      </c>
      <c r="E169" s="36" t="s">
        <v>87</v>
      </c>
      <c r="F169" s="37">
        <v>201.9</v>
      </c>
      <c r="G169" s="36" t="s">
        <v>33</v>
      </c>
      <c r="H169" s="37">
        <f t="shared" si="1"/>
        <v>1</v>
      </c>
      <c r="I169" s="37">
        <f t="shared" si="6"/>
        <v>3</v>
      </c>
      <c r="J169" s="37" t="str">
        <f>IF(COUNTIF($A$2:A169,A169)=1,"New","Repeat")</f>
        <v>New</v>
      </c>
      <c r="K169" s="37">
        <f ca="1">IFERROR(__xludf.DUMMYFUNCTION("IF(I169=""4+"",
   COUNTUNIQUE(FILTER(A:A, I:I&gt;=4)),
   COUNTUNIQUE(FILTER(A:A, I:I=I169))
)"),42)</f>
        <v>42</v>
      </c>
      <c r="L169" s="36"/>
      <c r="M169" s="36"/>
      <c r="N169" s="36"/>
    </row>
    <row r="170" spans="1:14" ht="15" x14ac:dyDescent="0.25">
      <c r="A170" s="33" t="s">
        <v>78</v>
      </c>
      <c r="B170" s="39">
        <v>45952</v>
      </c>
      <c r="C170" s="35" t="str">
        <f t="shared" si="5"/>
        <v>10-2025</v>
      </c>
      <c r="D170" s="36" t="s">
        <v>14</v>
      </c>
      <c r="E170" s="36" t="s">
        <v>41</v>
      </c>
      <c r="F170" s="37">
        <v>51.86</v>
      </c>
      <c r="G170" s="36" t="s">
        <v>30</v>
      </c>
      <c r="H170" s="37">
        <f t="shared" si="1"/>
        <v>1</v>
      </c>
      <c r="I170" s="37">
        <f t="shared" si="6"/>
        <v>4</v>
      </c>
      <c r="J170" s="37" t="str">
        <f>IF(COUNTIF($A$2:A170,A170)=1,"New","Repeat")</f>
        <v>Repeat</v>
      </c>
      <c r="K170" s="37">
        <f ca="1">IFERROR(__xludf.DUMMYFUNCTION("IF(I170=""4+"",
   COUNTUNIQUE(FILTER(A:A, I:I&gt;=4)),
   COUNTUNIQUE(FILTER(A:A, I:I=I170))
)"),32)</f>
        <v>32</v>
      </c>
      <c r="L170" s="36"/>
      <c r="M170" s="36"/>
      <c r="N170" s="36"/>
    </row>
    <row r="171" spans="1:14" ht="15" x14ac:dyDescent="0.25">
      <c r="A171" s="33" t="s">
        <v>128</v>
      </c>
      <c r="B171" s="34">
        <v>45786</v>
      </c>
      <c r="C171" s="35" t="str">
        <f t="shared" si="5"/>
        <v>05-2025</v>
      </c>
      <c r="D171" s="36" t="s">
        <v>51</v>
      </c>
      <c r="E171" s="36" t="s">
        <v>72</v>
      </c>
      <c r="F171" s="37">
        <v>370.99</v>
      </c>
      <c r="G171" s="36" t="s">
        <v>37</v>
      </c>
      <c r="H171" s="37">
        <f t="shared" si="1"/>
        <v>1</v>
      </c>
      <c r="I171" s="37">
        <f t="shared" si="6"/>
        <v>6</v>
      </c>
      <c r="J171" s="37" t="str">
        <f>IF(COUNTIF($A$2:A171,A171)=1,"New","Repeat")</f>
        <v>Repeat</v>
      </c>
      <c r="K171" s="37">
        <f ca="1">IFERROR(__xludf.DUMMYFUNCTION("IF(I171=""4+"",
   COUNTUNIQUE(FILTER(A:A, I:I&gt;=4)),
   COUNTUNIQUE(FILTER(A:A, I:I=I171))
)"),19)</f>
        <v>19</v>
      </c>
      <c r="L171" s="36"/>
      <c r="M171" s="36"/>
      <c r="N171" s="36"/>
    </row>
    <row r="172" spans="1:14" ht="15" x14ac:dyDescent="0.25">
      <c r="A172" s="33" t="s">
        <v>159</v>
      </c>
      <c r="B172" s="34">
        <v>45757</v>
      </c>
      <c r="C172" s="35" t="str">
        <f t="shared" si="5"/>
        <v>04-2025</v>
      </c>
      <c r="D172" s="36" t="s">
        <v>35</v>
      </c>
      <c r="E172" s="36" t="s">
        <v>54</v>
      </c>
      <c r="F172" s="37">
        <v>478.85</v>
      </c>
      <c r="G172" s="36" t="s">
        <v>25</v>
      </c>
      <c r="H172" s="37">
        <f t="shared" si="1"/>
        <v>1</v>
      </c>
      <c r="I172" s="37">
        <f t="shared" si="6"/>
        <v>4</v>
      </c>
      <c r="J172" s="37" t="str">
        <f>IF(COUNTIF($A$2:A172,A172)=1,"New","Repeat")</f>
        <v>New</v>
      </c>
      <c r="K172" s="37">
        <f ca="1">IFERROR(__xludf.DUMMYFUNCTION("IF(I172=""4+"",
   COUNTUNIQUE(FILTER(A:A, I:I&gt;=4)),
   COUNTUNIQUE(FILTER(A:A, I:I=I172))
)"),32)</f>
        <v>32</v>
      </c>
      <c r="L172" s="36"/>
      <c r="M172" s="36"/>
      <c r="N172" s="36"/>
    </row>
    <row r="173" spans="1:14" ht="15" x14ac:dyDescent="0.25">
      <c r="A173" s="33" t="s">
        <v>156</v>
      </c>
      <c r="B173" s="34">
        <v>45877</v>
      </c>
      <c r="C173" s="35" t="str">
        <f t="shared" si="5"/>
        <v>08-2025</v>
      </c>
      <c r="D173" s="36" t="s">
        <v>51</v>
      </c>
      <c r="E173" s="36" t="s">
        <v>101</v>
      </c>
      <c r="F173" s="37">
        <v>350.15</v>
      </c>
      <c r="G173" s="36" t="s">
        <v>33</v>
      </c>
      <c r="H173" s="37">
        <f t="shared" si="1"/>
        <v>1</v>
      </c>
      <c r="I173" s="37">
        <f t="shared" si="6"/>
        <v>3</v>
      </c>
      <c r="J173" s="37" t="str">
        <f>IF(COUNTIF($A$2:A173,A173)=1,"New","Repeat")</f>
        <v>Repeat</v>
      </c>
      <c r="K173" s="37">
        <f ca="1">IFERROR(__xludf.DUMMYFUNCTION("IF(I173=""4+"",
   COUNTUNIQUE(FILTER(A:A, I:I&gt;=4)),
   COUNTUNIQUE(FILTER(A:A, I:I=I173))
)"),42)</f>
        <v>42</v>
      </c>
      <c r="L173" s="36"/>
      <c r="M173" s="36"/>
      <c r="N173" s="36"/>
    </row>
    <row r="174" spans="1:14" ht="15" x14ac:dyDescent="0.25">
      <c r="A174" s="33" t="s">
        <v>80</v>
      </c>
      <c r="B174" s="34">
        <v>45715</v>
      </c>
      <c r="C174" s="35" t="str">
        <f t="shared" si="5"/>
        <v>02-2025</v>
      </c>
      <c r="D174" s="36" t="s">
        <v>35</v>
      </c>
      <c r="E174" s="36" t="s">
        <v>58</v>
      </c>
      <c r="F174" s="37">
        <v>309.37</v>
      </c>
      <c r="G174" s="36" t="s">
        <v>16</v>
      </c>
      <c r="H174" s="37">
        <f t="shared" si="1"/>
        <v>1</v>
      </c>
      <c r="I174" s="37">
        <f t="shared" si="6"/>
        <v>6</v>
      </c>
      <c r="J174" s="37" t="str">
        <f>IF(COUNTIF($A$2:A174,A174)=1,"New","Repeat")</f>
        <v>Repeat</v>
      </c>
      <c r="K174" s="37">
        <f ca="1">IFERROR(__xludf.DUMMYFUNCTION("IF(I174=""4+"",
   COUNTUNIQUE(FILTER(A:A, I:I&gt;=4)),
   COUNTUNIQUE(FILTER(A:A, I:I=I174))
)"),19)</f>
        <v>19</v>
      </c>
      <c r="L174" s="36"/>
      <c r="M174" s="36"/>
      <c r="N174" s="36"/>
    </row>
    <row r="175" spans="1:14" ht="15" x14ac:dyDescent="0.25">
      <c r="A175" s="33" t="s">
        <v>95</v>
      </c>
      <c r="B175" s="34">
        <v>45969</v>
      </c>
      <c r="C175" s="35" t="str">
        <f t="shared" si="5"/>
        <v>11-2025</v>
      </c>
      <c r="D175" s="36" t="s">
        <v>14</v>
      </c>
      <c r="E175" s="36" t="s">
        <v>32</v>
      </c>
      <c r="F175" s="37">
        <v>236.42</v>
      </c>
      <c r="G175" s="36" t="s">
        <v>30</v>
      </c>
      <c r="H175" s="37">
        <f t="shared" si="1"/>
        <v>1</v>
      </c>
      <c r="I175" s="37">
        <f t="shared" si="6"/>
        <v>5</v>
      </c>
      <c r="J175" s="37" t="str">
        <f>IF(COUNTIF($A$2:A175,A175)=1,"New","Repeat")</f>
        <v>Repeat</v>
      </c>
      <c r="K175" s="37">
        <f ca="1">IFERROR(__xludf.DUMMYFUNCTION("IF(I175=""4+"",
   COUNTUNIQUE(FILTER(A:A, I:I&gt;=4)),
   COUNTUNIQUE(FILTER(A:A, I:I=I175))
)"),34)</f>
        <v>34</v>
      </c>
      <c r="L175" s="36"/>
      <c r="M175" s="36"/>
      <c r="N175" s="36"/>
    </row>
    <row r="176" spans="1:14" ht="15" x14ac:dyDescent="0.25">
      <c r="A176" s="33" t="s">
        <v>100</v>
      </c>
      <c r="B176" s="39">
        <v>46012</v>
      </c>
      <c r="C176" s="35" t="str">
        <f t="shared" si="5"/>
        <v>12-2025</v>
      </c>
      <c r="D176" s="36" t="s">
        <v>28</v>
      </c>
      <c r="E176" s="36" t="s">
        <v>29</v>
      </c>
      <c r="F176" s="37">
        <v>424.27</v>
      </c>
      <c r="G176" s="36" t="s">
        <v>25</v>
      </c>
      <c r="H176" s="37">
        <f t="shared" si="1"/>
        <v>1</v>
      </c>
      <c r="I176" s="37">
        <f t="shared" si="6"/>
        <v>6</v>
      </c>
      <c r="J176" s="37" t="str">
        <f>IF(COUNTIF($A$2:A176,A176)=1,"New","Repeat")</f>
        <v>Repeat</v>
      </c>
      <c r="K176" s="37">
        <f ca="1">IFERROR(__xludf.DUMMYFUNCTION("IF(I176=""4+"",
   COUNTUNIQUE(FILTER(A:A, I:I&gt;=4)),
   COUNTUNIQUE(FILTER(A:A, I:I=I176))
)"),19)</f>
        <v>19</v>
      </c>
      <c r="L176" s="36"/>
      <c r="M176" s="36"/>
      <c r="N176" s="36"/>
    </row>
    <row r="177" spans="1:14" ht="15" x14ac:dyDescent="0.25">
      <c r="A177" s="33" t="s">
        <v>160</v>
      </c>
      <c r="B177" s="34">
        <v>45997</v>
      </c>
      <c r="C177" s="35" t="str">
        <f t="shared" si="5"/>
        <v>12-2025</v>
      </c>
      <c r="D177" s="36" t="s">
        <v>51</v>
      </c>
      <c r="E177" s="36" t="s">
        <v>145</v>
      </c>
      <c r="F177" s="37">
        <v>243.79</v>
      </c>
      <c r="G177" s="36" t="s">
        <v>16</v>
      </c>
      <c r="H177" s="37">
        <f t="shared" si="1"/>
        <v>1</v>
      </c>
      <c r="I177" s="37">
        <f t="shared" si="6"/>
        <v>3</v>
      </c>
      <c r="J177" s="37" t="str">
        <f>IF(COUNTIF($A$2:A177,A177)=1,"New","Repeat")</f>
        <v>New</v>
      </c>
      <c r="K177" s="37">
        <f ca="1">IFERROR(__xludf.DUMMYFUNCTION("IF(I177=""4+"",
   COUNTUNIQUE(FILTER(A:A, I:I&gt;=4)),
   COUNTUNIQUE(FILTER(A:A, I:I=I177))
)"),42)</f>
        <v>42</v>
      </c>
      <c r="L177" s="36"/>
      <c r="M177" s="36"/>
      <c r="N177" s="36"/>
    </row>
    <row r="178" spans="1:14" ht="15" x14ac:dyDescent="0.25">
      <c r="A178" s="33" t="s">
        <v>90</v>
      </c>
      <c r="B178" s="34">
        <v>45835</v>
      </c>
      <c r="C178" s="35" t="str">
        <f t="shared" si="5"/>
        <v>06-2025</v>
      </c>
      <c r="D178" s="36" t="s">
        <v>51</v>
      </c>
      <c r="E178" s="36" t="s">
        <v>145</v>
      </c>
      <c r="F178" s="37">
        <v>382.24</v>
      </c>
      <c r="G178" s="36" t="s">
        <v>16</v>
      </c>
      <c r="H178" s="37">
        <f t="shared" si="1"/>
        <v>1</v>
      </c>
      <c r="I178" s="37">
        <f t="shared" si="6"/>
        <v>5</v>
      </c>
      <c r="J178" s="37" t="str">
        <f>IF(COUNTIF($A$2:A178,A178)=1,"New","Repeat")</f>
        <v>Repeat</v>
      </c>
      <c r="K178" s="37">
        <f ca="1">IFERROR(__xludf.DUMMYFUNCTION("IF(I178=""4+"",
   COUNTUNIQUE(FILTER(A:A, I:I&gt;=4)),
   COUNTUNIQUE(FILTER(A:A, I:I=I178))
)"),34)</f>
        <v>34</v>
      </c>
      <c r="L178" s="36"/>
      <c r="M178" s="36"/>
      <c r="N178" s="36"/>
    </row>
    <row r="179" spans="1:14" ht="15" x14ac:dyDescent="0.25">
      <c r="A179" s="33" t="s">
        <v>121</v>
      </c>
      <c r="B179" s="34">
        <v>45923</v>
      </c>
      <c r="C179" s="35" t="str">
        <f t="shared" si="5"/>
        <v>09-2025</v>
      </c>
      <c r="D179" s="36" t="s">
        <v>14</v>
      </c>
      <c r="E179" s="36" t="s">
        <v>59</v>
      </c>
      <c r="F179" s="37">
        <v>334.49</v>
      </c>
      <c r="G179" s="36" t="s">
        <v>70</v>
      </c>
      <c r="H179" s="37">
        <f t="shared" si="1"/>
        <v>1</v>
      </c>
      <c r="I179" s="37">
        <f t="shared" si="6"/>
        <v>5</v>
      </c>
      <c r="J179" s="37" t="str">
        <f>IF(COUNTIF($A$2:A179,A179)=1,"New","Repeat")</f>
        <v>Repeat</v>
      </c>
      <c r="K179" s="37">
        <f ca="1">IFERROR(__xludf.DUMMYFUNCTION("IF(I179=""4+"",
   COUNTUNIQUE(FILTER(A:A, I:I&gt;=4)),
   COUNTUNIQUE(FILTER(A:A, I:I=I179))
)"),34)</f>
        <v>34</v>
      </c>
      <c r="L179" s="36"/>
      <c r="M179" s="36"/>
      <c r="N179" s="36"/>
    </row>
    <row r="180" spans="1:14" ht="15" x14ac:dyDescent="0.25">
      <c r="A180" s="33" t="s">
        <v>161</v>
      </c>
      <c r="B180" s="39">
        <v>45959</v>
      </c>
      <c r="C180" s="35" t="str">
        <f t="shared" si="5"/>
        <v>10-2025</v>
      </c>
      <c r="D180" s="36" t="s">
        <v>14</v>
      </c>
      <c r="E180" s="36" t="s">
        <v>59</v>
      </c>
      <c r="F180" s="37">
        <v>195.42</v>
      </c>
      <c r="G180" s="36" t="s">
        <v>70</v>
      </c>
      <c r="H180" s="37">
        <f t="shared" si="1"/>
        <v>1</v>
      </c>
      <c r="I180" s="37">
        <f t="shared" si="6"/>
        <v>6</v>
      </c>
      <c r="J180" s="37" t="str">
        <f>IF(COUNTIF($A$2:A180,A180)=1,"New","Repeat")</f>
        <v>New</v>
      </c>
      <c r="K180" s="37">
        <f ca="1">IFERROR(__xludf.DUMMYFUNCTION("IF(I180=""4+"",
   COUNTUNIQUE(FILTER(A:A, I:I&gt;=4)),
   COUNTUNIQUE(FILTER(A:A, I:I=I180))
)"),19)</f>
        <v>19</v>
      </c>
      <c r="L180" s="36"/>
      <c r="M180" s="36"/>
      <c r="N180" s="36"/>
    </row>
    <row r="181" spans="1:14" ht="15" x14ac:dyDescent="0.25">
      <c r="A181" s="33" t="s">
        <v>88</v>
      </c>
      <c r="B181" s="34">
        <v>45994</v>
      </c>
      <c r="C181" s="35" t="str">
        <f t="shared" si="5"/>
        <v>12-2025</v>
      </c>
      <c r="D181" s="36" t="s">
        <v>28</v>
      </c>
      <c r="E181" s="36" t="s">
        <v>29</v>
      </c>
      <c r="F181" s="37">
        <v>124.46</v>
      </c>
      <c r="G181" s="36" t="s">
        <v>70</v>
      </c>
      <c r="H181" s="37">
        <f t="shared" si="1"/>
        <v>1</v>
      </c>
      <c r="I181" s="37">
        <f t="shared" si="6"/>
        <v>5</v>
      </c>
      <c r="J181" s="37" t="str">
        <f>IF(COUNTIF($A$2:A181,A181)=1,"New","Repeat")</f>
        <v>Repeat</v>
      </c>
      <c r="K181" s="37">
        <f ca="1">IFERROR(__xludf.DUMMYFUNCTION("IF(I181=""4+"",
   COUNTUNIQUE(FILTER(A:A, I:I&gt;=4)),
   COUNTUNIQUE(FILTER(A:A, I:I=I181))
)"),34)</f>
        <v>34</v>
      </c>
      <c r="L181" s="36"/>
      <c r="M181" s="36"/>
      <c r="N181" s="36"/>
    </row>
    <row r="182" spans="1:14" ht="15" x14ac:dyDescent="0.25">
      <c r="A182" s="33" t="s">
        <v>162</v>
      </c>
      <c r="B182" s="34">
        <v>45900</v>
      </c>
      <c r="C182" s="35" t="str">
        <f t="shared" si="5"/>
        <v>08-2025</v>
      </c>
      <c r="D182" s="36" t="s">
        <v>28</v>
      </c>
      <c r="E182" s="36" t="s">
        <v>74</v>
      </c>
      <c r="F182" s="37">
        <v>411.45</v>
      </c>
      <c r="G182" s="36" t="s">
        <v>25</v>
      </c>
      <c r="H182" s="37">
        <f t="shared" si="1"/>
        <v>1</v>
      </c>
      <c r="I182" s="37">
        <f t="shared" si="6"/>
        <v>5</v>
      </c>
      <c r="J182" s="37" t="str">
        <f>IF(COUNTIF($A$2:A182,A182)=1,"New","Repeat")</f>
        <v>New</v>
      </c>
      <c r="K182" s="37">
        <f ca="1">IFERROR(__xludf.DUMMYFUNCTION("IF(I182=""4+"",
   COUNTUNIQUE(FILTER(A:A, I:I&gt;=4)),
   COUNTUNIQUE(FILTER(A:A, I:I=I182))
)"),34)</f>
        <v>34</v>
      </c>
      <c r="L182" s="36"/>
      <c r="M182" s="36"/>
      <c r="N182" s="36"/>
    </row>
    <row r="183" spans="1:14" ht="15" x14ac:dyDescent="0.25">
      <c r="A183" s="33" t="s">
        <v>130</v>
      </c>
      <c r="B183" s="34">
        <v>45730</v>
      </c>
      <c r="C183" s="35" t="str">
        <f t="shared" si="5"/>
        <v>03-2025</v>
      </c>
      <c r="D183" s="36" t="s">
        <v>35</v>
      </c>
      <c r="E183" s="36" t="s">
        <v>93</v>
      </c>
      <c r="F183" s="37">
        <v>295.19</v>
      </c>
      <c r="G183" s="36" t="s">
        <v>30</v>
      </c>
      <c r="H183" s="37">
        <f t="shared" si="1"/>
        <v>1</v>
      </c>
      <c r="I183" s="37">
        <f t="shared" si="6"/>
        <v>5</v>
      </c>
      <c r="J183" s="37" t="str">
        <f>IF(COUNTIF($A$2:A183,A183)=1,"New","Repeat")</f>
        <v>Repeat</v>
      </c>
      <c r="K183" s="37">
        <f ca="1">IFERROR(__xludf.DUMMYFUNCTION("IF(I183=""4+"",
   COUNTUNIQUE(FILTER(A:A, I:I&gt;=4)),
   COUNTUNIQUE(FILTER(A:A, I:I=I183))
)"),34)</f>
        <v>34</v>
      </c>
      <c r="L183" s="36"/>
      <c r="M183" s="36"/>
      <c r="N183" s="36"/>
    </row>
    <row r="184" spans="1:14" ht="15" x14ac:dyDescent="0.25">
      <c r="A184" s="33" t="s">
        <v>125</v>
      </c>
      <c r="B184" s="34">
        <v>45928</v>
      </c>
      <c r="C184" s="35" t="str">
        <f t="shared" si="5"/>
        <v>09-2025</v>
      </c>
      <c r="D184" s="36" t="s">
        <v>14</v>
      </c>
      <c r="E184" s="36" t="s">
        <v>41</v>
      </c>
      <c r="F184" s="37">
        <v>345.21</v>
      </c>
      <c r="G184" s="36" t="s">
        <v>33</v>
      </c>
      <c r="H184" s="37">
        <f t="shared" si="1"/>
        <v>1</v>
      </c>
      <c r="I184" s="37">
        <f t="shared" si="6"/>
        <v>5</v>
      </c>
      <c r="J184" s="37" t="str">
        <f>IF(COUNTIF($A$2:A184,A184)=1,"New","Repeat")</f>
        <v>Repeat</v>
      </c>
      <c r="K184" s="37">
        <f ca="1">IFERROR(__xludf.DUMMYFUNCTION("IF(I184=""4+"",
   COUNTUNIQUE(FILTER(A:A, I:I&gt;=4)),
   COUNTUNIQUE(FILTER(A:A, I:I=I184))
)"),34)</f>
        <v>34</v>
      </c>
      <c r="L184" s="36"/>
      <c r="M184" s="36"/>
      <c r="N184" s="36"/>
    </row>
    <row r="185" spans="1:14" ht="15" x14ac:dyDescent="0.25">
      <c r="A185" s="33" t="s">
        <v>163</v>
      </c>
      <c r="B185" s="39">
        <v>46021</v>
      </c>
      <c r="C185" s="35" t="str">
        <f t="shared" si="5"/>
        <v>12-2025</v>
      </c>
      <c r="D185" s="36" t="s">
        <v>18</v>
      </c>
      <c r="E185" s="36" t="s">
        <v>65</v>
      </c>
      <c r="F185" s="37">
        <v>454.2</v>
      </c>
      <c r="G185" s="36" t="s">
        <v>22</v>
      </c>
      <c r="H185" s="37">
        <f t="shared" si="1"/>
        <v>1</v>
      </c>
      <c r="I185" s="37">
        <f t="shared" si="6"/>
        <v>4</v>
      </c>
      <c r="J185" s="37" t="str">
        <f>IF(COUNTIF($A$2:A185,A185)=1,"New","Repeat")</f>
        <v>New</v>
      </c>
      <c r="K185" s="37">
        <f ca="1">IFERROR(__xludf.DUMMYFUNCTION("IF(I185=""4+"",
   COUNTUNIQUE(FILTER(A:A, I:I&gt;=4)),
   COUNTUNIQUE(FILTER(A:A, I:I=I185))
)"),32)</f>
        <v>32</v>
      </c>
      <c r="L185" s="36"/>
      <c r="M185" s="36"/>
      <c r="N185" s="36"/>
    </row>
    <row r="186" spans="1:14" ht="15" x14ac:dyDescent="0.25">
      <c r="A186" s="33" t="s">
        <v>130</v>
      </c>
      <c r="B186" s="34">
        <v>45815</v>
      </c>
      <c r="C186" s="35" t="str">
        <f t="shared" si="5"/>
        <v>06-2025</v>
      </c>
      <c r="D186" s="36" t="s">
        <v>28</v>
      </c>
      <c r="E186" s="36" t="s">
        <v>87</v>
      </c>
      <c r="F186" s="37">
        <v>248.84</v>
      </c>
      <c r="G186" s="36" t="s">
        <v>25</v>
      </c>
      <c r="H186" s="37">
        <f t="shared" si="1"/>
        <v>1</v>
      </c>
      <c r="I186" s="37">
        <f t="shared" si="6"/>
        <v>5</v>
      </c>
      <c r="J186" s="37" t="str">
        <f>IF(COUNTIF($A$2:A186,A186)=1,"New","Repeat")</f>
        <v>Repeat</v>
      </c>
      <c r="K186" s="37">
        <f ca="1">IFERROR(__xludf.DUMMYFUNCTION("IF(I186=""4+"",
   COUNTUNIQUE(FILTER(A:A, I:I&gt;=4)),
   COUNTUNIQUE(FILTER(A:A, I:I=I186))
)"),34)</f>
        <v>34</v>
      </c>
      <c r="L186" s="36"/>
      <c r="M186" s="36"/>
      <c r="N186" s="36"/>
    </row>
    <row r="187" spans="1:14" ht="15" x14ac:dyDescent="0.25">
      <c r="A187" s="33" t="s">
        <v>164</v>
      </c>
      <c r="B187" s="34">
        <v>45968</v>
      </c>
      <c r="C187" s="35" t="str">
        <f t="shared" si="5"/>
        <v>11-2025</v>
      </c>
      <c r="D187" s="36" t="s">
        <v>51</v>
      </c>
      <c r="E187" s="36" t="s">
        <v>68</v>
      </c>
      <c r="F187" s="37">
        <v>465.4</v>
      </c>
      <c r="G187" s="36" t="s">
        <v>22</v>
      </c>
      <c r="H187" s="37">
        <f t="shared" si="1"/>
        <v>1</v>
      </c>
      <c r="I187" s="37">
        <f t="shared" si="6"/>
        <v>3</v>
      </c>
      <c r="J187" s="37" t="str">
        <f>IF(COUNTIF($A$2:A187,A187)=1,"New","Repeat")</f>
        <v>New</v>
      </c>
      <c r="K187" s="37">
        <f ca="1">IFERROR(__xludf.DUMMYFUNCTION("IF(I187=""4+"",
   COUNTUNIQUE(FILTER(A:A, I:I&gt;=4)),
   COUNTUNIQUE(FILTER(A:A, I:I=I187))
)"),42)</f>
        <v>42</v>
      </c>
      <c r="L187" s="36"/>
      <c r="M187" s="36"/>
      <c r="N187" s="36"/>
    </row>
    <row r="188" spans="1:14" ht="15" x14ac:dyDescent="0.25">
      <c r="A188" s="33" t="s">
        <v>79</v>
      </c>
      <c r="B188" s="34">
        <v>45899</v>
      </c>
      <c r="C188" s="35" t="str">
        <f t="shared" si="5"/>
        <v>08-2025</v>
      </c>
      <c r="D188" s="36" t="s">
        <v>14</v>
      </c>
      <c r="E188" s="36" t="s">
        <v>15</v>
      </c>
      <c r="F188" s="37">
        <v>284.29000000000002</v>
      </c>
      <c r="G188" s="36" t="s">
        <v>22</v>
      </c>
      <c r="H188" s="37">
        <f t="shared" si="1"/>
        <v>1</v>
      </c>
      <c r="I188" s="37">
        <f t="shared" si="6"/>
        <v>3</v>
      </c>
      <c r="J188" s="37" t="str">
        <f>IF(COUNTIF($A$2:A188,A188)=1,"New","Repeat")</f>
        <v>Repeat</v>
      </c>
      <c r="K188" s="37">
        <f ca="1">IFERROR(__xludf.DUMMYFUNCTION("IF(I188=""4+"",
   COUNTUNIQUE(FILTER(A:A, I:I&gt;=4)),
   COUNTUNIQUE(FILTER(A:A, I:I=I188))
)"),42)</f>
        <v>42</v>
      </c>
      <c r="L188" s="36"/>
      <c r="M188" s="36"/>
      <c r="N188" s="36"/>
    </row>
    <row r="189" spans="1:14" ht="15" x14ac:dyDescent="0.25">
      <c r="A189" s="33" t="s">
        <v>165</v>
      </c>
      <c r="B189" s="39">
        <v>45978</v>
      </c>
      <c r="C189" s="35" t="str">
        <f t="shared" si="5"/>
        <v>11-2025</v>
      </c>
      <c r="D189" s="36" t="s">
        <v>28</v>
      </c>
      <c r="E189" s="36" t="s">
        <v>45</v>
      </c>
      <c r="F189" s="37">
        <v>471.23</v>
      </c>
      <c r="G189" s="36" t="s">
        <v>25</v>
      </c>
      <c r="H189" s="37">
        <f t="shared" si="1"/>
        <v>1</v>
      </c>
      <c r="I189" s="37">
        <f t="shared" si="6"/>
        <v>4</v>
      </c>
      <c r="J189" s="37" t="str">
        <f>IF(COUNTIF($A$2:A189,A189)=1,"New","Repeat")</f>
        <v>New</v>
      </c>
      <c r="K189" s="37">
        <f ca="1">IFERROR(__xludf.DUMMYFUNCTION("IF(I189=""4+"",
   COUNTUNIQUE(FILTER(A:A, I:I&gt;=4)),
   COUNTUNIQUE(FILTER(A:A, I:I=I189))
)"),32)</f>
        <v>32</v>
      </c>
      <c r="L189" s="36"/>
      <c r="M189" s="36"/>
      <c r="N189" s="36"/>
    </row>
    <row r="190" spans="1:14" ht="15" x14ac:dyDescent="0.25">
      <c r="A190" s="33" t="s">
        <v>144</v>
      </c>
      <c r="B190" s="34">
        <v>46025</v>
      </c>
      <c r="C190" s="35" t="str">
        <f t="shared" si="5"/>
        <v>01-2026</v>
      </c>
      <c r="D190" s="36" t="s">
        <v>51</v>
      </c>
      <c r="E190" s="36" t="s">
        <v>68</v>
      </c>
      <c r="F190" s="37">
        <v>266.08999999999997</v>
      </c>
      <c r="G190" s="36" t="s">
        <v>33</v>
      </c>
      <c r="H190" s="37">
        <f t="shared" si="1"/>
        <v>1</v>
      </c>
      <c r="I190" s="37">
        <f t="shared" si="6"/>
        <v>5</v>
      </c>
      <c r="J190" s="37" t="str">
        <f>IF(COUNTIF($A$2:A190,A190)=1,"New","Repeat")</f>
        <v>Repeat</v>
      </c>
      <c r="K190" s="37">
        <f ca="1">IFERROR(__xludf.DUMMYFUNCTION("IF(I190=""4+"",
   COUNTUNIQUE(FILTER(A:A, I:I&gt;=4)),
   COUNTUNIQUE(FILTER(A:A, I:I=I190))
)"),34)</f>
        <v>34</v>
      </c>
      <c r="L190" s="36"/>
      <c r="M190" s="36"/>
      <c r="N190" s="36"/>
    </row>
    <row r="191" spans="1:14" ht="15" x14ac:dyDescent="0.25">
      <c r="A191" s="33" t="s">
        <v>166</v>
      </c>
      <c r="B191" s="34">
        <v>45768</v>
      </c>
      <c r="C191" s="35" t="str">
        <f t="shared" si="5"/>
        <v>04-2025</v>
      </c>
      <c r="D191" s="36" t="s">
        <v>18</v>
      </c>
      <c r="E191" s="36" t="s">
        <v>19</v>
      </c>
      <c r="F191" s="37">
        <v>252.91</v>
      </c>
      <c r="G191" s="36" t="s">
        <v>25</v>
      </c>
      <c r="H191" s="37">
        <f t="shared" si="1"/>
        <v>1</v>
      </c>
      <c r="I191" s="37">
        <f t="shared" si="6"/>
        <v>6</v>
      </c>
      <c r="J191" s="37" t="str">
        <f>IF(COUNTIF($A$2:A191,A191)=1,"New","Repeat")</f>
        <v>New</v>
      </c>
      <c r="K191" s="37">
        <f ca="1">IFERROR(__xludf.DUMMYFUNCTION("IF(I191=""4+"",
   COUNTUNIQUE(FILTER(A:A, I:I&gt;=4)),
   COUNTUNIQUE(FILTER(A:A, I:I=I191))
)"),19)</f>
        <v>19</v>
      </c>
      <c r="L191" s="36"/>
      <c r="M191" s="36"/>
      <c r="N191" s="36"/>
    </row>
    <row r="192" spans="1:14" ht="15" x14ac:dyDescent="0.25">
      <c r="A192" s="33" t="s">
        <v>167</v>
      </c>
      <c r="B192" s="34">
        <v>45934</v>
      </c>
      <c r="C192" s="35" t="str">
        <f t="shared" si="5"/>
        <v>10-2025</v>
      </c>
      <c r="D192" s="36" t="s">
        <v>35</v>
      </c>
      <c r="E192" s="36" t="s">
        <v>93</v>
      </c>
      <c r="F192" s="37">
        <v>174.94</v>
      </c>
      <c r="G192" s="36" t="s">
        <v>16</v>
      </c>
      <c r="H192" s="37">
        <f t="shared" si="1"/>
        <v>1</v>
      </c>
      <c r="I192" s="37">
        <f t="shared" si="6"/>
        <v>5</v>
      </c>
      <c r="J192" s="37" t="str">
        <f>IF(COUNTIF($A$2:A192,A192)=1,"New","Repeat")</f>
        <v>New</v>
      </c>
      <c r="K192" s="37">
        <f ca="1">IFERROR(__xludf.DUMMYFUNCTION("IF(I192=""4+"",
   COUNTUNIQUE(FILTER(A:A, I:I&gt;=4)),
   COUNTUNIQUE(FILTER(A:A, I:I=I192))
)"),34)</f>
        <v>34</v>
      </c>
      <c r="L192" s="36"/>
      <c r="M192" s="36"/>
      <c r="N192" s="36"/>
    </row>
    <row r="193" spans="1:14" ht="15" x14ac:dyDescent="0.25">
      <c r="A193" s="33" t="s">
        <v>168</v>
      </c>
      <c r="B193" s="39">
        <v>46019</v>
      </c>
      <c r="C193" s="35" t="str">
        <f t="shared" si="5"/>
        <v>12-2025</v>
      </c>
      <c r="D193" s="36" t="s">
        <v>18</v>
      </c>
      <c r="E193" s="36" t="s">
        <v>65</v>
      </c>
      <c r="F193" s="37">
        <v>377.61</v>
      </c>
      <c r="G193" s="36" t="s">
        <v>25</v>
      </c>
      <c r="H193" s="37">
        <f t="shared" si="1"/>
        <v>0</v>
      </c>
      <c r="I193" s="37">
        <f t="shared" si="6"/>
        <v>1</v>
      </c>
      <c r="J193" s="37" t="str">
        <f>IF(COUNTIF($A$2:A193,A193)=1,"New","Repeat")</f>
        <v>New</v>
      </c>
      <c r="K193" s="37">
        <f ca="1">IFERROR(__xludf.DUMMYFUNCTION("IF(I193=""4+"",
   COUNTUNIQUE(FILTER(A:A, I:I&gt;=4)),
   COUNTUNIQUE(FILTER(A:A, I:I=I193))
)"),24)</f>
        <v>24</v>
      </c>
      <c r="L193" s="36"/>
      <c r="M193" s="36"/>
      <c r="N193" s="36"/>
    </row>
    <row r="194" spans="1:14" ht="15" x14ac:dyDescent="0.25">
      <c r="A194" s="33" t="s">
        <v>169</v>
      </c>
      <c r="B194" s="34">
        <v>45827</v>
      </c>
      <c r="C194" s="35" t="str">
        <f t="shared" ref="C194:C257" si="7">TEXT(B:B, "mm-yyyy")</f>
        <v>06-2025</v>
      </c>
      <c r="D194" s="36" t="s">
        <v>18</v>
      </c>
      <c r="E194" s="36" t="s">
        <v>24</v>
      </c>
      <c r="F194" s="37">
        <v>216.75</v>
      </c>
      <c r="G194" s="36" t="s">
        <v>22</v>
      </c>
      <c r="H194" s="37">
        <f t="shared" si="1"/>
        <v>1</v>
      </c>
      <c r="I194" s="37">
        <f t="shared" ref="I194:I257" si="8">COUNTIF($A:$A, A194)</f>
        <v>4</v>
      </c>
      <c r="J194" s="37" t="str">
        <f>IF(COUNTIF($A$2:A194,A194)=1,"New","Repeat")</f>
        <v>New</v>
      </c>
      <c r="K194" s="37">
        <f ca="1">IFERROR(__xludf.DUMMYFUNCTION("IF(I194=""4+"",
   COUNTUNIQUE(FILTER(A:A, I:I&gt;=4)),
   COUNTUNIQUE(FILTER(A:A, I:I=I194))
)"),32)</f>
        <v>32</v>
      </c>
      <c r="L194" s="36"/>
      <c r="M194" s="36"/>
      <c r="N194" s="36"/>
    </row>
    <row r="195" spans="1:14" ht="15" x14ac:dyDescent="0.25">
      <c r="A195" s="33" t="s">
        <v>170</v>
      </c>
      <c r="B195" s="34">
        <v>46050</v>
      </c>
      <c r="C195" s="35" t="str">
        <f t="shared" si="7"/>
        <v>01-2026</v>
      </c>
      <c r="D195" s="36" t="s">
        <v>28</v>
      </c>
      <c r="E195" s="36" t="s">
        <v>43</v>
      </c>
      <c r="F195" s="37">
        <v>200.83</v>
      </c>
      <c r="G195" s="36" t="s">
        <v>37</v>
      </c>
      <c r="H195" s="37">
        <f t="shared" si="1"/>
        <v>1</v>
      </c>
      <c r="I195" s="37">
        <f t="shared" si="8"/>
        <v>6</v>
      </c>
      <c r="J195" s="37" t="str">
        <f>IF(COUNTIF($A$2:A195,A195)=1,"New","Repeat")</f>
        <v>New</v>
      </c>
      <c r="K195" s="37">
        <f ca="1">IFERROR(__xludf.DUMMYFUNCTION("IF(I195=""4+"",
   COUNTUNIQUE(FILTER(A:A, I:I&gt;=4)),
   COUNTUNIQUE(FILTER(A:A, I:I=I195))
)"),19)</f>
        <v>19</v>
      </c>
      <c r="L195" s="36"/>
      <c r="M195" s="36"/>
      <c r="N195" s="36"/>
    </row>
    <row r="196" spans="1:14" ht="15" x14ac:dyDescent="0.25">
      <c r="A196" s="33" t="s">
        <v>152</v>
      </c>
      <c r="B196" s="39">
        <v>45973</v>
      </c>
      <c r="C196" s="35" t="str">
        <f t="shared" si="7"/>
        <v>11-2025</v>
      </c>
      <c r="D196" s="36" t="s">
        <v>14</v>
      </c>
      <c r="E196" s="36" t="s">
        <v>15</v>
      </c>
      <c r="F196" s="37">
        <v>21.05</v>
      </c>
      <c r="G196" s="36" t="s">
        <v>25</v>
      </c>
      <c r="H196" s="37">
        <f t="shared" si="1"/>
        <v>1</v>
      </c>
      <c r="I196" s="37">
        <f t="shared" si="8"/>
        <v>5</v>
      </c>
      <c r="J196" s="37" t="str">
        <f>IF(COUNTIF($A$2:A196,A196)=1,"New","Repeat")</f>
        <v>Repeat</v>
      </c>
      <c r="K196" s="37">
        <f ca="1">IFERROR(__xludf.DUMMYFUNCTION("IF(I196=""4+"",
   COUNTUNIQUE(FILTER(A:A, I:I&gt;=4)),
   COUNTUNIQUE(FILTER(A:A, I:I=I196))
)"),34)</f>
        <v>34</v>
      </c>
      <c r="L196" s="36"/>
      <c r="M196" s="36"/>
      <c r="N196" s="36"/>
    </row>
    <row r="197" spans="1:14" ht="15" x14ac:dyDescent="0.25">
      <c r="A197" s="33" t="s">
        <v>140</v>
      </c>
      <c r="B197" s="34">
        <v>45796</v>
      </c>
      <c r="C197" s="35" t="str">
        <f t="shared" si="7"/>
        <v>05-2025</v>
      </c>
      <c r="D197" s="36" t="s">
        <v>35</v>
      </c>
      <c r="E197" s="36" t="s">
        <v>39</v>
      </c>
      <c r="F197" s="37">
        <v>321.77999999999997</v>
      </c>
      <c r="G197" s="36" t="s">
        <v>70</v>
      </c>
      <c r="H197" s="37">
        <f t="shared" si="1"/>
        <v>1</v>
      </c>
      <c r="I197" s="37">
        <f t="shared" si="8"/>
        <v>6</v>
      </c>
      <c r="J197" s="37" t="str">
        <f>IF(COUNTIF($A$2:A197,A197)=1,"New","Repeat")</f>
        <v>Repeat</v>
      </c>
      <c r="K197" s="37">
        <f ca="1">IFERROR(__xludf.DUMMYFUNCTION("IF(I197=""4+"",
   COUNTUNIQUE(FILTER(A:A, I:I&gt;=4)),
   COUNTUNIQUE(FILTER(A:A, I:I=I197))
)"),19)</f>
        <v>19</v>
      </c>
      <c r="L197" s="36"/>
      <c r="M197" s="36"/>
      <c r="N197" s="36"/>
    </row>
    <row r="198" spans="1:14" ht="15" x14ac:dyDescent="0.25">
      <c r="A198" s="33" t="s">
        <v>143</v>
      </c>
      <c r="B198" s="39">
        <v>45950</v>
      </c>
      <c r="C198" s="35" t="str">
        <f t="shared" si="7"/>
        <v>10-2025</v>
      </c>
      <c r="D198" s="36" t="s">
        <v>35</v>
      </c>
      <c r="E198" s="36" t="s">
        <v>58</v>
      </c>
      <c r="F198" s="37">
        <v>318.88</v>
      </c>
      <c r="G198" s="36" t="s">
        <v>37</v>
      </c>
      <c r="H198" s="37">
        <f t="shared" si="1"/>
        <v>1</v>
      </c>
      <c r="I198" s="37">
        <f t="shared" si="8"/>
        <v>3</v>
      </c>
      <c r="J198" s="37" t="str">
        <f>IF(COUNTIF($A$2:A198,A198)=1,"New","Repeat")</f>
        <v>Repeat</v>
      </c>
      <c r="K198" s="37">
        <f ca="1">IFERROR(__xludf.DUMMYFUNCTION("IF(I198=""4+"",
   COUNTUNIQUE(FILTER(A:A, I:I&gt;=4)),
   COUNTUNIQUE(FILTER(A:A, I:I=I198))
)"),42)</f>
        <v>42</v>
      </c>
      <c r="L198" s="36"/>
      <c r="M198" s="36"/>
      <c r="N198" s="36"/>
    </row>
    <row r="199" spans="1:14" ht="15" x14ac:dyDescent="0.25">
      <c r="A199" s="33" t="s">
        <v>171</v>
      </c>
      <c r="B199" s="34">
        <v>45885</v>
      </c>
      <c r="C199" s="35" t="str">
        <f t="shared" si="7"/>
        <v>08-2025</v>
      </c>
      <c r="D199" s="36" t="s">
        <v>14</v>
      </c>
      <c r="E199" s="36" t="s">
        <v>59</v>
      </c>
      <c r="F199" s="37">
        <v>19.25</v>
      </c>
      <c r="G199" s="36" t="s">
        <v>22</v>
      </c>
      <c r="H199" s="37">
        <f t="shared" si="1"/>
        <v>1</v>
      </c>
      <c r="I199" s="37">
        <f t="shared" si="8"/>
        <v>2</v>
      </c>
      <c r="J199" s="37" t="str">
        <f>IF(COUNTIF($A$2:A199,A199)=1,"New","Repeat")</f>
        <v>New</v>
      </c>
      <c r="K199" s="37">
        <f ca="1">IFERROR(__xludf.DUMMYFUNCTION("IF(I199=""4+"",
   COUNTUNIQUE(FILTER(A:A, I:I&gt;=4)),
   COUNTUNIQUE(FILTER(A:A, I:I=I199))
)"),37)</f>
        <v>37</v>
      </c>
      <c r="L199" s="36"/>
      <c r="M199" s="36"/>
      <c r="N199" s="36"/>
    </row>
    <row r="200" spans="1:14" ht="15" x14ac:dyDescent="0.25">
      <c r="A200" s="33" t="s">
        <v>172</v>
      </c>
      <c r="B200" s="34">
        <v>45775</v>
      </c>
      <c r="C200" s="35" t="str">
        <f t="shared" si="7"/>
        <v>04-2025</v>
      </c>
      <c r="D200" s="36" t="s">
        <v>28</v>
      </c>
      <c r="E200" s="36" t="s">
        <v>43</v>
      </c>
      <c r="F200" s="37">
        <v>98.58</v>
      </c>
      <c r="G200" s="36" t="s">
        <v>33</v>
      </c>
      <c r="H200" s="37">
        <f t="shared" si="1"/>
        <v>1</v>
      </c>
      <c r="I200" s="37">
        <f t="shared" si="8"/>
        <v>3</v>
      </c>
      <c r="J200" s="37" t="str">
        <f>IF(COUNTIF($A$2:A200,A200)=1,"New","Repeat")</f>
        <v>New</v>
      </c>
      <c r="K200" s="37">
        <f ca="1">IFERROR(__xludf.DUMMYFUNCTION("IF(I200=""4+"",
   COUNTUNIQUE(FILTER(A:A, I:I&gt;=4)),
   COUNTUNIQUE(FILTER(A:A, I:I=I200))
)"),42)</f>
        <v>42</v>
      </c>
      <c r="L200" s="36"/>
      <c r="M200" s="36"/>
      <c r="N200" s="36"/>
    </row>
    <row r="201" spans="1:14" ht="15" x14ac:dyDescent="0.25">
      <c r="A201" s="33" t="s">
        <v>62</v>
      </c>
      <c r="B201" s="34">
        <v>45765</v>
      </c>
      <c r="C201" s="35" t="str">
        <f t="shared" si="7"/>
        <v>04-2025</v>
      </c>
      <c r="D201" s="36" t="s">
        <v>18</v>
      </c>
      <c r="E201" s="36" t="s">
        <v>65</v>
      </c>
      <c r="F201" s="37">
        <v>300.70999999999998</v>
      </c>
      <c r="G201" s="36" t="s">
        <v>33</v>
      </c>
      <c r="H201" s="37">
        <f t="shared" si="1"/>
        <v>1</v>
      </c>
      <c r="I201" s="37">
        <f t="shared" si="8"/>
        <v>4</v>
      </c>
      <c r="J201" s="37" t="str">
        <f>IF(COUNTIF($A$2:A201,A201)=1,"New","Repeat")</f>
        <v>Repeat</v>
      </c>
      <c r="K201" s="37">
        <f ca="1">IFERROR(__xludf.DUMMYFUNCTION("IF(I201=""4+"",
   COUNTUNIQUE(FILTER(A:A, I:I&gt;=4)),
   COUNTUNIQUE(FILTER(A:A, I:I=I201))
)"),32)</f>
        <v>32</v>
      </c>
      <c r="L201" s="36"/>
      <c r="M201" s="36"/>
      <c r="N201" s="36"/>
    </row>
    <row r="202" spans="1:14" ht="15" x14ac:dyDescent="0.25">
      <c r="A202" s="33" t="s">
        <v>173</v>
      </c>
      <c r="B202" s="34">
        <v>46048</v>
      </c>
      <c r="C202" s="35" t="str">
        <f t="shared" si="7"/>
        <v>01-2026</v>
      </c>
      <c r="D202" s="36" t="s">
        <v>28</v>
      </c>
      <c r="E202" s="36" t="s">
        <v>29</v>
      </c>
      <c r="F202" s="37">
        <v>330.51</v>
      </c>
      <c r="G202" s="36" t="s">
        <v>33</v>
      </c>
      <c r="H202" s="37">
        <f t="shared" si="1"/>
        <v>1</v>
      </c>
      <c r="I202" s="37">
        <f t="shared" si="8"/>
        <v>2</v>
      </c>
      <c r="J202" s="37" t="str">
        <f>IF(COUNTIF($A$2:A202,A202)=1,"New","Repeat")</f>
        <v>New</v>
      </c>
      <c r="K202" s="37">
        <f ca="1">IFERROR(__xludf.DUMMYFUNCTION("IF(I202=""4+"",
   COUNTUNIQUE(FILTER(A:A, I:I&gt;=4)),
   COUNTUNIQUE(FILTER(A:A, I:I=I202))
)"),37)</f>
        <v>37</v>
      </c>
      <c r="L202" s="36"/>
      <c r="M202" s="36"/>
      <c r="N202" s="36"/>
    </row>
    <row r="203" spans="1:14" ht="15" x14ac:dyDescent="0.25">
      <c r="A203" s="33" t="s">
        <v>104</v>
      </c>
      <c r="B203" s="34">
        <v>45829</v>
      </c>
      <c r="C203" s="35" t="str">
        <f t="shared" si="7"/>
        <v>06-2025</v>
      </c>
      <c r="D203" s="36" t="s">
        <v>35</v>
      </c>
      <c r="E203" s="36" t="s">
        <v>58</v>
      </c>
      <c r="F203" s="37">
        <v>184.13</v>
      </c>
      <c r="G203" s="36" t="s">
        <v>22</v>
      </c>
      <c r="H203" s="37">
        <f t="shared" si="1"/>
        <v>1</v>
      </c>
      <c r="I203" s="37">
        <f t="shared" si="8"/>
        <v>4</v>
      </c>
      <c r="J203" s="37" t="str">
        <f>IF(COUNTIF($A$2:A203,A203)=1,"New","Repeat")</f>
        <v>Repeat</v>
      </c>
      <c r="K203" s="37">
        <f ca="1">IFERROR(__xludf.DUMMYFUNCTION("IF(I203=""4+"",
   COUNTUNIQUE(FILTER(A:A, I:I&gt;=4)),
   COUNTUNIQUE(FILTER(A:A, I:I=I203))
)"),32)</f>
        <v>32</v>
      </c>
      <c r="L203" s="36"/>
      <c r="M203" s="36"/>
      <c r="N203" s="36"/>
    </row>
    <row r="204" spans="1:14" ht="15" x14ac:dyDescent="0.25">
      <c r="A204" s="33" t="s">
        <v>174</v>
      </c>
      <c r="B204" s="34">
        <v>45871</v>
      </c>
      <c r="C204" s="35" t="str">
        <f t="shared" si="7"/>
        <v>08-2025</v>
      </c>
      <c r="D204" s="36" t="s">
        <v>35</v>
      </c>
      <c r="E204" s="36" t="s">
        <v>54</v>
      </c>
      <c r="F204" s="37">
        <v>445.78</v>
      </c>
      <c r="G204" s="36" t="s">
        <v>37</v>
      </c>
      <c r="H204" s="37">
        <f t="shared" si="1"/>
        <v>1</v>
      </c>
      <c r="I204" s="37">
        <f t="shared" si="8"/>
        <v>3</v>
      </c>
      <c r="J204" s="37" t="str">
        <f>IF(COUNTIF($A$2:A204,A204)=1,"New","Repeat")</f>
        <v>New</v>
      </c>
      <c r="K204" s="37">
        <f ca="1">IFERROR(__xludf.DUMMYFUNCTION("IF(I204=""4+"",
   COUNTUNIQUE(FILTER(A:A, I:I&gt;=4)),
   COUNTUNIQUE(FILTER(A:A, I:I=I204))
)"),42)</f>
        <v>42</v>
      </c>
      <c r="L204" s="36"/>
      <c r="M204" s="36"/>
      <c r="N204" s="36"/>
    </row>
    <row r="205" spans="1:14" ht="15" x14ac:dyDescent="0.25">
      <c r="A205" s="33" t="s">
        <v>77</v>
      </c>
      <c r="B205" s="34">
        <v>45747</v>
      </c>
      <c r="C205" s="35" t="str">
        <f t="shared" si="7"/>
        <v>03-2025</v>
      </c>
      <c r="D205" s="36" t="s">
        <v>14</v>
      </c>
      <c r="E205" s="36" t="s">
        <v>32</v>
      </c>
      <c r="F205" s="37">
        <v>252.44</v>
      </c>
      <c r="G205" s="36" t="s">
        <v>25</v>
      </c>
      <c r="H205" s="37">
        <f t="shared" si="1"/>
        <v>1</v>
      </c>
      <c r="I205" s="37">
        <f t="shared" si="8"/>
        <v>6</v>
      </c>
      <c r="J205" s="37" t="str">
        <f>IF(COUNTIF($A$2:A205,A205)=1,"New","Repeat")</f>
        <v>Repeat</v>
      </c>
      <c r="K205" s="37">
        <f ca="1">IFERROR(__xludf.DUMMYFUNCTION("IF(I205=""4+"",
   COUNTUNIQUE(FILTER(A:A, I:I&gt;=4)),
   COUNTUNIQUE(FILTER(A:A, I:I=I205))
)"),19)</f>
        <v>19</v>
      </c>
      <c r="L205" s="36"/>
      <c r="M205" s="36"/>
      <c r="N205" s="36"/>
    </row>
    <row r="206" spans="1:14" ht="15" x14ac:dyDescent="0.25">
      <c r="A206" s="33" t="s">
        <v>64</v>
      </c>
      <c r="B206" s="34">
        <v>45787</v>
      </c>
      <c r="C206" s="35" t="str">
        <f t="shared" si="7"/>
        <v>05-2025</v>
      </c>
      <c r="D206" s="36" t="s">
        <v>14</v>
      </c>
      <c r="E206" s="36" t="s">
        <v>96</v>
      </c>
      <c r="F206" s="37">
        <v>175.35</v>
      </c>
      <c r="G206" s="36" t="s">
        <v>33</v>
      </c>
      <c r="H206" s="37">
        <f t="shared" si="1"/>
        <v>1</v>
      </c>
      <c r="I206" s="37">
        <f t="shared" si="8"/>
        <v>5</v>
      </c>
      <c r="J206" s="37" t="str">
        <f>IF(COUNTIF($A$2:A206,A206)=1,"New","Repeat")</f>
        <v>Repeat</v>
      </c>
      <c r="K206" s="37">
        <f ca="1">IFERROR(__xludf.DUMMYFUNCTION("IF(I206=""4+"",
   COUNTUNIQUE(FILTER(A:A, I:I&gt;=4)),
   COUNTUNIQUE(FILTER(A:A, I:I=I206))
)"),34)</f>
        <v>34</v>
      </c>
      <c r="L206" s="36"/>
      <c r="M206" s="36"/>
      <c r="N206" s="36"/>
    </row>
    <row r="207" spans="1:14" ht="15" x14ac:dyDescent="0.25">
      <c r="A207" s="33" t="s">
        <v>175</v>
      </c>
      <c r="B207" s="39">
        <v>45958</v>
      </c>
      <c r="C207" s="35" t="str">
        <f t="shared" si="7"/>
        <v>10-2025</v>
      </c>
      <c r="D207" s="36" t="s">
        <v>35</v>
      </c>
      <c r="E207" s="36" t="s">
        <v>58</v>
      </c>
      <c r="F207" s="37">
        <v>228.2</v>
      </c>
      <c r="G207" s="36" t="s">
        <v>37</v>
      </c>
      <c r="H207" s="37">
        <f t="shared" si="1"/>
        <v>1</v>
      </c>
      <c r="I207" s="37">
        <f t="shared" si="8"/>
        <v>4</v>
      </c>
      <c r="J207" s="37" t="str">
        <f>IF(COUNTIF($A$2:A207,A207)=1,"New","Repeat")</f>
        <v>New</v>
      </c>
      <c r="K207" s="37">
        <f ca="1">IFERROR(__xludf.DUMMYFUNCTION("IF(I207=""4+"",
   COUNTUNIQUE(FILTER(A:A, I:I&gt;=4)),
   COUNTUNIQUE(FILTER(A:A, I:I=I207))
)"),32)</f>
        <v>32</v>
      </c>
      <c r="L207" s="36"/>
      <c r="M207" s="36"/>
      <c r="N207" s="36"/>
    </row>
    <row r="208" spans="1:14" ht="15" x14ac:dyDescent="0.25">
      <c r="A208" s="33" t="s">
        <v>176</v>
      </c>
      <c r="B208" s="34">
        <v>45918</v>
      </c>
      <c r="C208" s="35" t="str">
        <f t="shared" si="7"/>
        <v>09-2025</v>
      </c>
      <c r="D208" s="36" t="s">
        <v>18</v>
      </c>
      <c r="E208" s="36" t="s">
        <v>24</v>
      </c>
      <c r="F208" s="37">
        <v>141.91</v>
      </c>
      <c r="G208" s="36" t="s">
        <v>16</v>
      </c>
      <c r="H208" s="37">
        <f t="shared" si="1"/>
        <v>1</v>
      </c>
      <c r="I208" s="37">
        <f t="shared" si="8"/>
        <v>3</v>
      </c>
      <c r="J208" s="37" t="str">
        <f>IF(COUNTIF($A$2:A208,A208)=1,"New","Repeat")</f>
        <v>New</v>
      </c>
      <c r="K208" s="37">
        <f ca="1">IFERROR(__xludf.DUMMYFUNCTION("IF(I208=""4+"",
   COUNTUNIQUE(FILTER(A:A, I:I&gt;=4)),
   COUNTUNIQUE(FILTER(A:A, I:I=I208))
)"),42)</f>
        <v>42</v>
      </c>
      <c r="L208" s="36"/>
      <c r="M208" s="36"/>
      <c r="N208" s="36"/>
    </row>
    <row r="209" spans="1:14" ht="15" x14ac:dyDescent="0.25">
      <c r="A209" s="33" t="s">
        <v>177</v>
      </c>
      <c r="B209" s="34">
        <v>46062</v>
      </c>
      <c r="C209" s="35" t="str">
        <f t="shared" si="7"/>
        <v>02-2026</v>
      </c>
      <c r="D209" s="36" t="s">
        <v>51</v>
      </c>
      <c r="E209" s="36" t="s">
        <v>101</v>
      </c>
      <c r="F209" s="37">
        <v>360.82</v>
      </c>
      <c r="G209" s="36" t="s">
        <v>30</v>
      </c>
      <c r="H209" s="37">
        <f t="shared" si="1"/>
        <v>1</v>
      </c>
      <c r="I209" s="37">
        <f t="shared" si="8"/>
        <v>6</v>
      </c>
      <c r="J209" s="37" t="str">
        <f>IF(COUNTIF($A$2:A209,A209)=1,"New","Repeat")</f>
        <v>New</v>
      </c>
      <c r="K209" s="37">
        <f ca="1">IFERROR(__xludf.DUMMYFUNCTION("IF(I209=""4+"",
   COUNTUNIQUE(FILTER(A:A, I:I&gt;=4)),
   COUNTUNIQUE(FILTER(A:A, I:I=I209))
)"),19)</f>
        <v>19</v>
      </c>
      <c r="L209" s="36"/>
      <c r="M209" s="36"/>
      <c r="N209" s="36"/>
    </row>
    <row r="210" spans="1:14" ht="15" x14ac:dyDescent="0.25">
      <c r="A210" s="33" t="s">
        <v>147</v>
      </c>
      <c r="B210" s="34">
        <v>45897</v>
      </c>
      <c r="C210" s="35" t="str">
        <f t="shared" si="7"/>
        <v>08-2025</v>
      </c>
      <c r="D210" s="36" t="s">
        <v>14</v>
      </c>
      <c r="E210" s="36" t="s">
        <v>41</v>
      </c>
      <c r="F210" s="37">
        <v>89.4</v>
      </c>
      <c r="G210" s="36" t="s">
        <v>30</v>
      </c>
      <c r="H210" s="37">
        <f t="shared" si="1"/>
        <v>1</v>
      </c>
      <c r="I210" s="37">
        <f t="shared" si="8"/>
        <v>2</v>
      </c>
      <c r="J210" s="37" t="str">
        <f>IF(COUNTIF($A$2:A210,A210)=1,"New","Repeat")</f>
        <v>Repeat</v>
      </c>
      <c r="K210" s="37">
        <f ca="1">IFERROR(__xludf.DUMMYFUNCTION("IF(I210=""4+"",
   COUNTUNIQUE(FILTER(A:A, I:I&gt;=4)),
   COUNTUNIQUE(FILTER(A:A, I:I=I210))
)"),37)</f>
        <v>37</v>
      </c>
      <c r="L210" s="36"/>
      <c r="M210" s="36"/>
      <c r="N210" s="36"/>
    </row>
    <row r="211" spans="1:14" ht="15" x14ac:dyDescent="0.25">
      <c r="A211" s="33" t="s">
        <v>178</v>
      </c>
      <c r="B211" s="34">
        <v>46046</v>
      </c>
      <c r="C211" s="35" t="str">
        <f t="shared" si="7"/>
        <v>01-2026</v>
      </c>
      <c r="D211" s="36" t="s">
        <v>51</v>
      </c>
      <c r="E211" s="36" t="s">
        <v>145</v>
      </c>
      <c r="F211" s="37">
        <v>252.27</v>
      </c>
      <c r="G211" s="36" t="s">
        <v>22</v>
      </c>
      <c r="H211" s="37">
        <f t="shared" si="1"/>
        <v>1</v>
      </c>
      <c r="I211" s="37">
        <f t="shared" si="8"/>
        <v>3</v>
      </c>
      <c r="J211" s="37" t="str">
        <f>IF(COUNTIF($A$2:A211,A211)=1,"New","Repeat")</f>
        <v>New</v>
      </c>
      <c r="K211" s="37">
        <f ca="1">IFERROR(__xludf.DUMMYFUNCTION("IF(I211=""4+"",
   COUNTUNIQUE(FILTER(A:A, I:I&gt;=4)),
   COUNTUNIQUE(FILTER(A:A, I:I=I211))
)"),42)</f>
        <v>42</v>
      </c>
      <c r="L211" s="36"/>
      <c r="M211" s="36"/>
      <c r="N211" s="36"/>
    </row>
    <row r="212" spans="1:14" ht="15" x14ac:dyDescent="0.25">
      <c r="A212" s="33" t="s">
        <v>179</v>
      </c>
      <c r="B212" s="34">
        <v>45798</v>
      </c>
      <c r="C212" s="35" t="str">
        <f t="shared" si="7"/>
        <v>05-2025</v>
      </c>
      <c r="D212" s="36" t="s">
        <v>18</v>
      </c>
      <c r="E212" s="36" t="s">
        <v>47</v>
      </c>
      <c r="F212" s="37">
        <v>448.07</v>
      </c>
      <c r="G212" s="36" t="s">
        <v>22</v>
      </c>
      <c r="H212" s="37">
        <f t="shared" si="1"/>
        <v>1</v>
      </c>
      <c r="I212" s="37">
        <f t="shared" si="8"/>
        <v>3</v>
      </c>
      <c r="J212" s="37" t="str">
        <f>IF(COUNTIF($A$2:A212,A212)=1,"New","Repeat")</f>
        <v>New</v>
      </c>
      <c r="K212" s="37">
        <f ca="1">IFERROR(__xludf.DUMMYFUNCTION("IF(I212=""4+"",
   COUNTUNIQUE(FILTER(A:A, I:I&gt;=4)),
   COUNTUNIQUE(FILTER(A:A, I:I=I212))
)"),42)</f>
        <v>42</v>
      </c>
      <c r="L212" s="36"/>
      <c r="M212" s="36"/>
      <c r="N212" s="36"/>
    </row>
    <row r="213" spans="1:14" ht="15" x14ac:dyDescent="0.25">
      <c r="A213" s="33" t="s">
        <v>141</v>
      </c>
      <c r="B213" s="34">
        <v>45711</v>
      </c>
      <c r="C213" s="35" t="str">
        <f t="shared" si="7"/>
        <v>02-2025</v>
      </c>
      <c r="D213" s="36" t="s">
        <v>14</v>
      </c>
      <c r="E213" s="36" t="s">
        <v>96</v>
      </c>
      <c r="F213" s="37">
        <v>383.65</v>
      </c>
      <c r="G213" s="36" t="s">
        <v>70</v>
      </c>
      <c r="H213" s="37">
        <f t="shared" si="1"/>
        <v>1</v>
      </c>
      <c r="I213" s="37">
        <f t="shared" si="8"/>
        <v>3</v>
      </c>
      <c r="J213" s="37" t="str">
        <f>IF(COUNTIF($A$2:A213,A213)=1,"New","Repeat")</f>
        <v>Repeat</v>
      </c>
      <c r="K213" s="37">
        <f ca="1">IFERROR(__xludf.DUMMYFUNCTION("IF(I213=""4+"",
   COUNTUNIQUE(FILTER(A:A, I:I&gt;=4)),
   COUNTUNIQUE(FILTER(A:A, I:I=I213))
)"),42)</f>
        <v>42</v>
      </c>
      <c r="L213" s="36"/>
      <c r="M213" s="36"/>
      <c r="N213" s="36"/>
    </row>
    <row r="214" spans="1:14" ht="15" x14ac:dyDescent="0.25">
      <c r="A214" s="33" t="s">
        <v>180</v>
      </c>
      <c r="B214" s="34">
        <v>45996</v>
      </c>
      <c r="C214" s="35" t="str">
        <f t="shared" si="7"/>
        <v>12-2025</v>
      </c>
      <c r="D214" s="36" t="s">
        <v>35</v>
      </c>
      <c r="E214" s="36" t="s">
        <v>39</v>
      </c>
      <c r="F214" s="37">
        <v>182.34</v>
      </c>
      <c r="G214" s="36" t="s">
        <v>25</v>
      </c>
      <c r="H214" s="37">
        <f t="shared" si="1"/>
        <v>0</v>
      </c>
      <c r="I214" s="37">
        <f t="shared" si="8"/>
        <v>1</v>
      </c>
      <c r="J214" s="37" t="str">
        <f>IF(COUNTIF($A$2:A214,A214)=1,"New","Repeat")</f>
        <v>New</v>
      </c>
      <c r="K214" s="37">
        <f ca="1">IFERROR(__xludf.DUMMYFUNCTION("IF(I214=""4+"",
   COUNTUNIQUE(FILTER(A:A, I:I&gt;=4)),
   COUNTUNIQUE(FILTER(A:A, I:I=I214))
)"),24)</f>
        <v>24</v>
      </c>
      <c r="L214" s="36"/>
      <c r="M214" s="36"/>
      <c r="N214" s="36"/>
    </row>
    <row r="215" spans="1:14" ht="15" x14ac:dyDescent="0.25">
      <c r="A215" s="33" t="s">
        <v>181</v>
      </c>
      <c r="B215" s="34">
        <v>45913</v>
      </c>
      <c r="C215" s="35" t="str">
        <f t="shared" si="7"/>
        <v>09-2025</v>
      </c>
      <c r="D215" s="36" t="s">
        <v>28</v>
      </c>
      <c r="E215" s="36" t="s">
        <v>87</v>
      </c>
      <c r="F215" s="37">
        <v>233.89</v>
      </c>
      <c r="G215" s="36" t="s">
        <v>25</v>
      </c>
      <c r="H215" s="37">
        <f t="shared" si="1"/>
        <v>1</v>
      </c>
      <c r="I215" s="37">
        <f t="shared" si="8"/>
        <v>5</v>
      </c>
      <c r="J215" s="37" t="str">
        <f>IF(COUNTIF($A$2:A215,A215)=1,"New","Repeat")</f>
        <v>New</v>
      </c>
      <c r="K215" s="37">
        <f ca="1">IFERROR(__xludf.DUMMYFUNCTION("IF(I215=""4+"",
   COUNTUNIQUE(FILTER(A:A, I:I&gt;=4)),
   COUNTUNIQUE(FILTER(A:A, I:I=I215))
)"),34)</f>
        <v>34</v>
      </c>
      <c r="L215" s="36"/>
      <c r="M215" s="36"/>
      <c r="N215" s="36"/>
    </row>
    <row r="216" spans="1:14" ht="15" x14ac:dyDescent="0.25">
      <c r="A216" s="33" t="s">
        <v>106</v>
      </c>
      <c r="B216" s="34">
        <v>45762</v>
      </c>
      <c r="C216" s="35" t="str">
        <f t="shared" si="7"/>
        <v>04-2025</v>
      </c>
      <c r="D216" s="36" t="s">
        <v>51</v>
      </c>
      <c r="E216" s="36" t="s">
        <v>72</v>
      </c>
      <c r="F216" s="37">
        <v>287.17</v>
      </c>
      <c r="G216" s="36" t="s">
        <v>16</v>
      </c>
      <c r="H216" s="37">
        <f t="shared" si="1"/>
        <v>1</v>
      </c>
      <c r="I216" s="37">
        <f t="shared" si="8"/>
        <v>3</v>
      </c>
      <c r="J216" s="37" t="str">
        <f>IF(COUNTIF($A$2:A216,A216)=1,"New","Repeat")</f>
        <v>Repeat</v>
      </c>
      <c r="K216" s="37">
        <f ca="1">IFERROR(__xludf.DUMMYFUNCTION("IF(I216=""4+"",
   COUNTUNIQUE(FILTER(A:A, I:I&gt;=4)),
   COUNTUNIQUE(FILTER(A:A, I:I=I216))
)"),42)</f>
        <v>42</v>
      </c>
      <c r="L216" s="36"/>
      <c r="M216" s="36"/>
      <c r="N216" s="36"/>
    </row>
    <row r="217" spans="1:14" ht="15" x14ac:dyDescent="0.25">
      <c r="A217" s="33" t="s">
        <v>166</v>
      </c>
      <c r="B217" s="39">
        <v>45977</v>
      </c>
      <c r="C217" s="35" t="str">
        <f t="shared" si="7"/>
        <v>11-2025</v>
      </c>
      <c r="D217" s="36" t="s">
        <v>14</v>
      </c>
      <c r="E217" s="36" t="s">
        <v>59</v>
      </c>
      <c r="F217" s="37">
        <v>354.61</v>
      </c>
      <c r="G217" s="36" t="s">
        <v>22</v>
      </c>
      <c r="H217" s="37">
        <f t="shared" si="1"/>
        <v>1</v>
      </c>
      <c r="I217" s="37">
        <f t="shared" si="8"/>
        <v>6</v>
      </c>
      <c r="J217" s="37" t="str">
        <f>IF(COUNTIF($A$2:A217,A217)=1,"New","Repeat")</f>
        <v>Repeat</v>
      </c>
      <c r="K217" s="37">
        <f ca="1">IFERROR(__xludf.DUMMYFUNCTION("IF(I217=""4+"",
   COUNTUNIQUE(FILTER(A:A, I:I&gt;=4)),
   COUNTUNIQUE(FILTER(A:A, I:I=I217))
)"),19)</f>
        <v>19</v>
      </c>
      <c r="L217" s="36"/>
      <c r="M217" s="36"/>
      <c r="N217" s="36"/>
    </row>
    <row r="218" spans="1:14" ht="15" x14ac:dyDescent="0.25">
      <c r="A218" s="33" t="s">
        <v>115</v>
      </c>
      <c r="B218" s="34">
        <v>45836</v>
      </c>
      <c r="C218" s="35" t="str">
        <f t="shared" si="7"/>
        <v>06-2025</v>
      </c>
      <c r="D218" s="36" t="s">
        <v>28</v>
      </c>
      <c r="E218" s="36" t="s">
        <v>43</v>
      </c>
      <c r="F218" s="37">
        <v>77.97</v>
      </c>
      <c r="G218" s="36" t="s">
        <v>22</v>
      </c>
      <c r="H218" s="37">
        <f t="shared" si="1"/>
        <v>1</v>
      </c>
      <c r="I218" s="37">
        <f t="shared" si="8"/>
        <v>4</v>
      </c>
      <c r="J218" s="37" t="str">
        <f>IF(COUNTIF($A$2:A218,A218)=1,"New","Repeat")</f>
        <v>Repeat</v>
      </c>
      <c r="K218" s="37">
        <f ca="1">IFERROR(__xludf.DUMMYFUNCTION("IF(I218=""4+"",
   COUNTUNIQUE(FILTER(A:A, I:I&gt;=4)),
   COUNTUNIQUE(FILTER(A:A, I:I=I218))
)"),32)</f>
        <v>32</v>
      </c>
      <c r="L218" s="36"/>
      <c r="M218" s="36"/>
      <c r="N218" s="36"/>
    </row>
    <row r="219" spans="1:14" ht="15" x14ac:dyDescent="0.25">
      <c r="A219" s="33" t="s">
        <v>182</v>
      </c>
      <c r="B219" s="34">
        <v>45997</v>
      </c>
      <c r="C219" s="35" t="str">
        <f t="shared" si="7"/>
        <v>12-2025</v>
      </c>
      <c r="D219" s="36" t="s">
        <v>14</v>
      </c>
      <c r="E219" s="36" t="s">
        <v>15</v>
      </c>
      <c r="F219" s="37">
        <v>438.72</v>
      </c>
      <c r="G219" s="36" t="s">
        <v>33</v>
      </c>
      <c r="H219" s="37">
        <f t="shared" si="1"/>
        <v>0</v>
      </c>
      <c r="I219" s="37">
        <f t="shared" si="8"/>
        <v>1</v>
      </c>
      <c r="J219" s="37" t="str">
        <f>IF(COUNTIF($A$2:A219,A219)=1,"New","Repeat")</f>
        <v>New</v>
      </c>
      <c r="K219" s="37">
        <f ca="1">IFERROR(__xludf.DUMMYFUNCTION("IF(I219=""4+"",
   COUNTUNIQUE(FILTER(A:A, I:I&gt;=4)),
   COUNTUNIQUE(FILTER(A:A, I:I=I219))
)"),24)</f>
        <v>24</v>
      </c>
      <c r="L219" s="36"/>
      <c r="M219" s="36"/>
      <c r="N219" s="36"/>
    </row>
    <row r="220" spans="1:14" ht="15" x14ac:dyDescent="0.25">
      <c r="A220" s="33" t="s">
        <v>86</v>
      </c>
      <c r="B220" s="34">
        <v>45739</v>
      </c>
      <c r="C220" s="35" t="str">
        <f t="shared" si="7"/>
        <v>03-2025</v>
      </c>
      <c r="D220" s="36" t="s">
        <v>28</v>
      </c>
      <c r="E220" s="36" t="s">
        <v>87</v>
      </c>
      <c r="F220" s="37">
        <v>429.97</v>
      </c>
      <c r="G220" s="36" t="s">
        <v>25</v>
      </c>
      <c r="H220" s="37">
        <f t="shared" si="1"/>
        <v>1</v>
      </c>
      <c r="I220" s="37">
        <f t="shared" si="8"/>
        <v>7</v>
      </c>
      <c r="J220" s="37" t="str">
        <f>IF(COUNTIF($A$2:A220,A220)=1,"New","Repeat")</f>
        <v>Repeat</v>
      </c>
      <c r="K220" s="37">
        <f ca="1">IFERROR(__xludf.DUMMYFUNCTION("IF(I220=""4+"",
   COUNTUNIQUE(FILTER(A:A, I:I&gt;=4)),
   COUNTUNIQUE(FILTER(A:A, I:I=I220))
)"),4)</f>
        <v>4</v>
      </c>
      <c r="L220" s="36"/>
      <c r="M220" s="36"/>
      <c r="N220" s="36"/>
    </row>
    <row r="221" spans="1:14" ht="15" x14ac:dyDescent="0.25">
      <c r="A221" s="33" t="s">
        <v>77</v>
      </c>
      <c r="B221" s="34">
        <v>45744</v>
      </c>
      <c r="C221" s="35" t="str">
        <f t="shared" si="7"/>
        <v>03-2025</v>
      </c>
      <c r="D221" s="36" t="s">
        <v>14</v>
      </c>
      <c r="E221" s="36" t="s">
        <v>96</v>
      </c>
      <c r="F221" s="37">
        <v>189.14</v>
      </c>
      <c r="G221" s="36" t="s">
        <v>30</v>
      </c>
      <c r="H221" s="37">
        <f t="shared" si="1"/>
        <v>1</v>
      </c>
      <c r="I221" s="37">
        <f t="shared" si="8"/>
        <v>6</v>
      </c>
      <c r="J221" s="37" t="str">
        <f>IF(COUNTIF($A$2:A221,A221)=1,"New","Repeat")</f>
        <v>Repeat</v>
      </c>
      <c r="K221" s="37">
        <f ca="1">IFERROR(__xludf.DUMMYFUNCTION("IF(I221=""4+"",
   COUNTUNIQUE(FILTER(A:A, I:I&gt;=4)),
   COUNTUNIQUE(FILTER(A:A, I:I=I221))
)"),19)</f>
        <v>19</v>
      </c>
      <c r="L221" s="36"/>
      <c r="M221" s="36"/>
      <c r="N221" s="36"/>
    </row>
    <row r="222" spans="1:14" ht="15" x14ac:dyDescent="0.25">
      <c r="A222" s="33" t="s">
        <v>140</v>
      </c>
      <c r="B222" s="34">
        <v>45907</v>
      </c>
      <c r="C222" s="35" t="str">
        <f t="shared" si="7"/>
        <v>09-2025</v>
      </c>
      <c r="D222" s="36" t="s">
        <v>51</v>
      </c>
      <c r="E222" s="36" t="s">
        <v>101</v>
      </c>
      <c r="F222" s="37">
        <v>159.09</v>
      </c>
      <c r="G222" s="36" t="s">
        <v>33</v>
      </c>
      <c r="H222" s="37">
        <f t="shared" si="1"/>
        <v>1</v>
      </c>
      <c r="I222" s="37">
        <f t="shared" si="8"/>
        <v>6</v>
      </c>
      <c r="J222" s="37" t="str">
        <f>IF(COUNTIF($A$2:A222,A222)=1,"New","Repeat")</f>
        <v>Repeat</v>
      </c>
      <c r="K222" s="37">
        <f ca="1">IFERROR(__xludf.DUMMYFUNCTION("IF(I222=""4+"",
   COUNTUNIQUE(FILTER(A:A, I:I&gt;=4)),
   COUNTUNIQUE(FILTER(A:A, I:I=I222))
)"),19)</f>
        <v>19</v>
      </c>
      <c r="L222" s="36"/>
      <c r="M222" s="36"/>
      <c r="N222" s="36"/>
    </row>
    <row r="223" spans="1:14" ht="15" x14ac:dyDescent="0.25">
      <c r="A223" s="33" t="s">
        <v>183</v>
      </c>
      <c r="B223" s="39">
        <v>45954</v>
      </c>
      <c r="C223" s="35" t="str">
        <f t="shared" si="7"/>
        <v>10-2025</v>
      </c>
      <c r="D223" s="36" t="s">
        <v>28</v>
      </c>
      <c r="E223" s="36" t="s">
        <v>45</v>
      </c>
      <c r="F223" s="37">
        <v>476.7</v>
      </c>
      <c r="G223" s="36" t="s">
        <v>25</v>
      </c>
      <c r="H223" s="37">
        <f t="shared" si="1"/>
        <v>1</v>
      </c>
      <c r="I223" s="37">
        <f t="shared" si="8"/>
        <v>3</v>
      </c>
      <c r="J223" s="37" t="str">
        <f>IF(COUNTIF($A$2:A223,A223)=1,"New","Repeat")</f>
        <v>New</v>
      </c>
      <c r="K223" s="37">
        <f ca="1">IFERROR(__xludf.DUMMYFUNCTION("IF(I223=""4+"",
   COUNTUNIQUE(FILTER(A:A, I:I&gt;=4)),
   COUNTUNIQUE(FILTER(A:A, I:I=I223))
)"),42)</f>
        <v>42</v>
      </c>
      <c r="L223" s="36"/>
      <c r="M223" s="36"/>
      <c r="N223" s="36"/>
    </row>
    <row r="224" spans="1:14" ht="15" x14ac:dyDescent="0.25">
      <c r="A224" s="33" t="s">
        <v>184</v>
      </c>
      <c r="B224" s="34">
        <v>45996</v>
      </c>
      <c r="C224" s="35" t="str">
        <f t="shared" si="7"/>
        <v>12-2025</v>
      </c>
      <c r="D224" s="36" t="s">
        <v>51</v>
      </c>
      <c r="E224" s="36" t="s">
        <v>72</v>
      </c>
      <c r="F224" s="37">
        <v>62.25</v>
      </c>
      <c r="G224" s="36" t="s">
        <v>22</v>
      </c>
      <c r="H224" s="37">
        <f t="shared" si="1"/>
        <v>1</v>
      </c>
      <c r="I224" s="37">
        <f t="shared" si="8"/>
        <v>6</v>
      </c>
      <c r="J224" s="37" t="str">
        <f>IF(COUNTIF($A$2:A224,A224)=1,"New","Repeat")</f>
        <v>New</v>
      </c>
      <c r="K224" s="37">
        <f ca="1">IFERROR(__xludf.DUMMYFUNCTION("IF(I224=""4+"",
   COUNTUNIQUE(FILTER(A:A, I:I&gt;=4)),
   COUNTUNIQUE(FILTER(A:A, I:I=I224))
)"),19)</f>
        <v>19</v>
      </c>
      <c r="L224" s="36"/>
      <c r="M224" s="36"/>
      <c r="N224" s="36"/>
    </row>
    <row r="225" spans="1:14" ht="15" x14ac:dyDescent="0.25">
      <c r="A225" s="33" t="s">
        <v>160</v>
      </c>
      <c r="B225" s="34">
        <v>45784</v>
      </c>
      <c r="C225" s="35" t="str">
        <f t="shared" si="7"/>
        <v>05-2025</v>
      </c>
      <c r="D225" s="36" t="s">
        <v>14</v>
      </c>
      <c r="E225" s="36" t="s">
        <v>32</v>
      </c>
      <c r="F225" s="37">
        <v>261.72000000000003</v>
      </c>
      <c r="G225" s="36" t="s">
        <v>16</v>
      </c>
      <c r="H225" s="37">
        <f t="shared" si="1"/>
        <v>1</v>
      </c>
      <c r="I225" s="37">
        <f t="shared" si="8"/>
        <v>3</v>
      </c>
      <c r="J225" s="37" t="str">
        <f>IF(COUNTIF($A$2:A225,A225)=1,"New","Repeat")</f>
        <v>Repeat</v>
      </c>
      <c r="K225" s="37">
        <f ca="1">IFERROR(__xludf.DUMMYFUNCTION("IF(I225=""4+"",
   COUNTUNIQUE(FILTER(A:A, I:I&gt;=4)),
   COUNTUNIQUE(FILTER(A:A, I:I=I225))
)"),42)</f>
        <v>42</v>
      </c>
      <c r="L225" s="36"/>
      <c r="M225" s="36"/>
      <c r="N225" s="36"/>
    </row>
    <row r="226" spans="1:14" ht="15" x14ac:dyDescent="0.25">
      <c r="A226" s="33" t="s">
        <v>177</v>
      </c>
      <c r="B226" s="34">
        <v>45969</v>
      </c>
      <c r="C226" s="35" t="str">
        <f t="shared" si="7"/>
        <v>11-2025</v>
      </c>
      <c r="D226" s="36" t="s">
        <v>35</v>
      </c>
      <c r="E226" s="36" t="s">
        <v>36</v>
      </c>
      <c r="F226" s="37">
        <v>107.27</v>
      </c>
      <c r="G226" s="36" t="s">
        <v>70</v>
      </c>
      <c r="H226" s="37">
        <f t="shared" si="1"/>
        <v>1</v>
      </c>
      <c r="I226" s="37">
        <f t="shared" si="8"/>
        <v>6</v>
      </c>
      <c r="J226" s="37" t="str">
        <f>IF(COUNTIF($A$2:A226,A226)=1,"New","Repeat")</f>
        <v>Repeat</v>
      </c>
      <c r="K226" s="37">
        <f ca="1">IFERROR(__xludf.DUMMYFUNCTION("IF(I226=""4+"",
   COUNTUNIQUE(FILTER(A:A, I:I&gt;=4)),
   COUNTUNIQUE(FILTER(A:A, I:I=I226))
)"),19)</f>
        <v>19</v>
      </c>
      <c r="L226" s="36"/>
      <c r="M226" s="36"/>
      <c r="N226" s="36"/>
    </row>
    <row r="227" spans="1:14" ht="15" x14ac:dyDescent="0.25">
      <c r="A227" s="33" t="s">
        <v>77</v>
      </c>
      <c r="B227" s="34">
        <v>45916</v>
      </c>
      <c r="C227" s="35" t="str">
        <f t="shared" si="7"/>
        <v>09-2025</v>
      </c>
      <c r="D227" s="36" t="s">
        <v>28</v>
      </c>
      <c r="E227" s="36" t="s">
        <v>87</v>
      </c>
      <c r="F227" s="37">
        <v>237.6</v>
      </c>
      <c r="G227" s="36" t="s">
        <v>30</v>
      </c>
      <c r="H227" s="37">
        <f t="shared" si="1"/>
        <v>1</v>
      </c>
      <c r="I227" s="37">
        <f t="shared" si="8"/>
        <v>6</v>
      </c>
      <c r="J227" s="37" t="str">
        <f>IF(COUNTIF($A$2:A227,A227)=1,"New","Repeat")</f>
        <v>Repeat</v>
      </c>
      <c r="K227" s="37">
        <f ca="1">IFERROR(__xludf.DUMMYFUNCTION("IF(I227=""4+"",
   COUNTUNIQUE(FILTER(A:A, I:I&gt;=4)),
   COUNTUNIQUE(FILTER(A:A, I:I=I227))
)"),19)</f>
        <v>19</v>
      </c>
      <c r="L227" s="36"/>
      <c r="M227" s="36"/>
      <c r="N227" s="36"/>
    </row>
    <row r="228" spans="1:14" ht="15" x14ac:dyDescent="0.25">
      <c r="A228" s="33" t="s">
        <v>185</v>
      </c>
      <c r="B228" s="34">
        <v>46032</v>
      </c>
      <c r="C228" s="35" t="str">
        <f t="shared" si="7"/>
        <v>01-2026</v>
      </c>
      <c r="D228" s="36" t="s">
        <v>35</v>
      </c>
      <c r="E228" s="36" t="s">
        <v>39</v>
      </c>
      <c r="F228" s="37">
        <v>317.25</v>
      </c>
      <c r="G228" s="36" t="s">
        <v>33</v>
      </c>
      <c r="H228" s="37">
        <f t="shared" si="1"/>
        <v>0</v>
      </c>
      <c r="I228" s="37">
        <f t="shared" si="8"/>
        <v>1</v>
      </c>
      <c r="J228" s="37" t="str">
        <f>IF(COUNTIF($A$2:A228,A228)=1,"New","Repeat")</f>
        <v>New</v>
      </c>
      <c r="K228" s="37">
        <f ca="1">IFERROR(__xludf.DUMMYFUNCTION("IF(I228=""4+"",
   COUNTUNIQUE(FILTER(A:A, I:I&gt;=4)),
   COUNTUNIQUE(FILTER(A:A, I:I=I228))
)"),24)</f>
        <v>24</v>
      </c>
      <c r="L228" s="36"/>
      <c r="M228" s="36"/>
      <c r="N228" s="36"/>
    </row>
    <row r="229" spans="1:14" ht="15" x14ac:dyDescent="0.25">
      <c r="A229" s="33" t="s">
        <v>62</v>
      </c>
      <c r="B229" s="34">
        <v>45937</v>
      </c>
      <c r="C229" s="35" t="str">
        <f t="shared" si="7"/>
        <v>10-2025</v>
      </c>
      <c r="D229" s="36" t="s">
        <v>35</v>
      </c>
      <c r="E229" s="36" t="s">
        <v>54</v>
      </c>
      <c r="F229" s="37">
        <v>416.7</v>
      </c>
      <c r="G229" s="36" t="s">
        <v>33</v>
      </c>
      <c r="H229" s="37">
        <f t="shared" si="1"/>
        <v>1</v>
      </c>
      <c r="I229" s="37">
        <f t="shared" si="8"/>
        <v>4</v>
      </c>
      <c r="J229" s="37" t="str">
        <f>IF(COUNTIF($A$2:A229,A229)=1,"New","Repeat")</f>
        <v>Repeat</v>
      </c>
      <c r="K229" s="37">
        <f ca="1">IFERROR(__xludf.DUMMYFUNCTION("IF(I229=""4+"",
   COUNTUNIQUE(FILTER(A:A, I:I&gt;=4)),
   COUNTUNIQUE(FILTER(A:A, I:I=I229))
)"),32)</f>
        <v>32</v>
      </c>
      <c r="L229" s="36"/>
      <c r="M229" s="36"/>
      <c r="N229" s="36"/>
    </row>
    <row r="230" spans="1:14" ht="15" x14ac:dyDescent="0.25">
      <c r="A230" s="33" t="s">
        <v>127</v>
      </c>
      <c r="B230" s="34">
        <v>45937</v>
      </c>
      <c r="C230" s="35" t="str">
        <f t="shared" si="7"/>
        <v>10-2025</v>
      </c>
      <c r="D230" s="36" t="s">
        <v>35</v>
      </c>
      <c r="E230" s="36" t="s">
        <v>54</v>
      </c>
      <c r="F230" s="37">
        <v>27.12</v>
      </c>
      <c r="G230" s="36" t="s">
        <v>33</v>
      </c>
      <c r="H230" s="37">
        <f t="shared" si="1"/>
        <v>1</v>
      </c>
      <c r="I230" s="37">
        <f t="shared" si="8"/>
        <v>5</v>
      </c>
      <c r="J230" s="37" t="str">
        <f>IF(COUNTIF($A$2:A230,A230)=1,"New","Repeat")</f>
        <v>Repeat</v>
      </c>
      <c r="K230" s="37">
        <f ca="1">IFERROR(__xludf.DUMMYFUNCTION("IF(I230=""4+"",
   COUNTUNIQUE(FILTER(A:A, I:I&gt;=4)),
   COUNTUNIQUE(FILTER(A:A, I:I=I230))
)"),34)</f>
        <v>34</v>
      </c>
      <c r="L230" s="36"/>
      <c r="M230" s="36"/>
      <c r="N230" s="36"/>
    </row>
    <row r="231" spans="1:14" ht="15" x14ac:dyDescent="0.25">
      <c r="A231" s="33" t="s">
        <v>161</v>
      </c>
      <c r="B231" s="34">
        <v>45887</v>
      </c>
      <c r="C231" s="35" t="str">
        <f t="shared" si="7"/>
        <v>08-2025</v>
      </c>
      <c r="D231" s="36" t="s">
        <v>28</v>
      </c>
      <c r="E231" s="36" t="s">
        <v>74</v>
      </c>
      <c r="F231" s="37">
        <v>463.02</v>
      </c>
      <c r="G231" s="36" t="s">
        <v>16</v>
      </c>
      <c r="H231" s="37">
        <f t="shared" si="1"/>
        <v>1</v>
      </c>
      <c r="I231" s="37">
        <f t="shared" si="8"/>
        <v>6</v>
      </c>
      <c r="J231" s="37" t="str">
        <f>IF(COUNTIF($A$2:A231,A231)=1,"New","Repeat")</f>
        <v>Repeat</v>
      </c>
      <c r="K231" s="37">
        <f ca="1">IFERROR(__xludf.DUMMYFUNCTION("IF(I231=""4+"",
   COUNTUNIQUE(FILTER(A:A, I:I&gt;=4)),
   COUNTUNIQUE(FILTER(A:A, I:I=I231))
)"),19)</f>
        <v>19</v>
      </c>
      <c r="L231" s="36"/>
      <c r="M231" s="36"/>
      <c r="N231" s="36"/>
    </row>
    <row r="232" spans="1:14" ht="15" x14ac:dyDescent="0.25">
      <c r="A232" s="33" t="s">
        <v>186</v>
      </c>
      <c r="B232" s="34">
        <v>45998</v>
      </c>
      <c r="C232" s="35" t="str">
        <f t="shared" si="7"/>
        <v>12-2025</v>
      </c>
      <c r="D232" s="36" t="s">
        <v>35</v>
      </c>
      <c r="E232" s="36" t="s">
        <v>36</v>
      </c>
      <c r="F232" s="37">
        <v>195.5</v>
      </c>
      <c r="G232" s="36" t="s">
        <v>37</v>
      </c>
      <c r="H232" s="37">
        <f t="shared" si="1"/>
        <v>1</v>
      </c>
      <c r="I232" s="37">
        <f t="shared" si="8"/>
        <v>4</v>
      </c>
      <c r="J232" s="37" t="str">
        <f>IF(COUNTIF($A$2:A232,A232)=1,"New","Repeat")</f>
        <v>New</v>
      </c>
      <c r="K232" s="37">
        <f ca="1">IFERROR(__xludf.DUMMYFUNCTION("IF(I232=""4+"",
   COUNTUNIQUE(FILTER(A:A, I:I&gt;=4)),
   COUNTUNIQUE(FILTER(A:A, I:I=I232))
)"),32)</f>
        <v>32</v>
      </c>
      <c r="L232" s="36"/>
      <c r="M232" s="36"/>
      <c r="N232" s="36"/>
    </row>
    <row r="233" spans="1:14" ht="15" x14ac:dyDescent="0.25">
      <c r="A233" s="33" t="s">
        <v>187</v>
      </c>
      <c r="B233" s="34">
        <v>45913</v>
      </c>
      <c r="C233" s="35" t="str">
        <f t="shared" si="7"/>
        <v>09-2025</v>
      </c>
      <c r="D233" s="36" t="s">
        <v>35</v>
      </c>
      <c r="E233" s="36" t="s">
        <v>93</v>
      </c>
      <c r="F233" s="37">
        <v>269.82</v>
      </c>
      <c r="G233" s="36" t="s">
        <v>33</v>
      </c>
      <c r="H233" s="37">
        <f t="shared" si="1"/>
        <v>1</v>
      </c>
      <c r="I233" s="37">
        <f t="shared" si="8"/>
        <v>4</v>
      </c>
      <c r="J233" s="37" t="str">
        <f>IF(COUNTIF($A$2:A233,A233)=1,"New","Repeat")</f>
        <v>New</v>
      </c>
      <c r="K233" s="37">
        <f ca="1">IFERROR(__xludf.DUMMYFUNCTION("IF(I233=""4+"",
   COUNTUNIQUE(FILTER(A:A, I:I&gt;=4)),
   COUNTUNIQUE(FILTER(A:A, I:I=I233))
)"),32)</f>
        <v>32</v>
      </c>
      <c r="L233" s="36"/>
      <c r="M233" s="36"/>
      <c r="N233" s="36"/>
    </row>
    <row r="234" spans="1:14" ht="15" x14ac:dyDescent="0.25">
      <c r="A234" s="33" t="s">
        <v>176</v>
      </c>
      <c r="B234" s="39">
        <v>45942</v>
      </c>
      <c r="C234" s="35" t="str">
        <f t="shared" si="7"/>
        <v>10-2025</v>
      </c>
      <c r="D234" s="36" t="s">
        <v>28</v>
      </c>
      <c r="E234" s="36" t="s">
        <v>74</v>
      </c>
      <c r="F234" s="37">
        <v>319.85000000000002</v>
      </c>
      <c r="G234" s="36" t="s">
        <v>70</v>
      </c>
      <c r="H234" s="37">
        <f t="shared" si="1"/>
        <v>1</v>
      </c>
      <c r="I234" s="37">
        <f t="shared" si="8"/>
        <v>3</v>
      </c>
      <c r="J234" s="37" t="str">
        <f>IF(COUNTIF($A$2:A234,A234)=1,"New","Repeat")</f>
        <v>Repeat</v>
      </c>
      <c r="K234" s="37">
        <f ca="1">IFERROR(__xludf.DUMMYFUNCTION("IF(I234=""4+"",
   COUNTUNIQUE(FILTER(A:A, I:I&gt;=4)),
   COUNTUNIQUE(FILTER(A:A, I:I=I234))
)"),42)</f>
        <v>42</v>
      </c>
      <c r="L234" s="36"/>
      <c r="M234" s="36"/>
      <c r="N234" s="36"/>
    </row>
    <row r="235" spans="1:14" ht="15" x14ac:dyDescent="0.25">
      <c r="A235" s="33" t="s">
        <v>100</v>
      </c>
      <c r="B235" s="34">
        <v>45857</v>
      </c>
      <c r="C235" s="35" t="str">
        <f t="shared" si="7"/>
        <v>07-2025</v>
      </c>
      <c r="D235" s="36" t="s">
        <v>28</v>
      </c>
      <c r="E235" s="36" t="s">
        <v>74</v>
      </c>
      <c r="F235" s="37">
        <v>68</v>
      </c>
      <c r="G235" s="36" t="s">
        <v>33</v>
      </c>
      <c r="H235" s="37">
        <f t="shared" si="1"/>
        <v>1</v>
      </c>
      <c r="I235" s="37">
        <f t="shared" si="8"/>
        <v>6</v>
      </c>
      <c r="J235" s="37" t="str">
        <f>IF(COUNTIF($A$2:A235,A235)=1,"New","Repeat")</f>
        <v>Repeat</v>
      </c>
      <c r="K235" s="37">
        <f ca="1">IFERROR(__xludf.DUMMYFUNCTION("IF(I235=""4+"",
   COUNTUNIQUE(FILTER(A:A, I:I&gt;=4)),
   COUNTUNIQUE(FILTER(A:A, I:I=I235))
)"),19)</f>
        <v>19</v>
      </c>
      <c r="L235" s="36"/>
      <c r="M235" s="36"/>
      <c r="N235" s="36"/>
    </row>
    <row r="236" spans="1:14" ht="15" x14ac:dyDescent="0.25">
      <c r="A236" s="33" t="s">
        <v>188</v>
      </c>
      <c r="B236" s="34">
        <v>45798</v>
      </c>
      <c r="C236" s="35" t="str">
        <f t="shared" si="7"/>
        <v>05-2025</v>
      </c>
      <c r="D236" s="36" t="s">
        <v>35</v>
      </c>
      <c r="E236" s="36" t="s">
        <v>36</v>
      </c>
      <c r="F236" s="37">
        <v>30.36</v>
      </c>
      <c r="G236" s="36" t="s">
        <v>22</v>
      </c>
      <c r="H236" s="37">
        <f t="shared" si="1"/>
        <v>1</v>
      </c>
      <c r="I236" s="37">
        <f t="shared" si="8"/>
        <v>5</v>
      </c>
      <c r="J236" s="37" t="str">
        <f>IF(COUNTIF($A$2:A236,A236)=1,"New","Repeat")</f>
        <v>New</v>
      </c>
      <c r="K236" s="37">
        <f ca="1">IFERROR(__xludf.DUMMYFUNCTION("IF(I236=""4+"",
   COUNTUNIQUE(FILTER(A:A, I:I&gt;=4)),
   COUNTUNIQUE(FILTER(A:A, I:I=I236))
)"),34)</f>
        <v>34</v>
      </c>
      <c r="L236" s="36"/>
      <c r="M236" s="36"/>
      <c r="N236" s="36"/>
    </row>
    <row r="237" spans="1:14" ht="15" x14ac:dyDescent="0.25">
      <c r="A237" s="33" t="s">
        <v>104</v>
      </c>
      <c r="B237" s="34">
        <v>45938</v>
      </c>
      <c r="C237" s="35" t="str">
        <f t="shared" si="7"/>
        <v>10-2025</v>
      </c>
      <c r="D237" s="36" t="s">
        <v>51</v>
      </c>
      <c r="E237" s="36" t="s">
        <v>52</v>
      </c>
      <c r="F237" s="37">
        <v>400.19</v>
      </c>
      <c r="G237" s="36" t="s">
        <v>25</v>
      </c>
      <c r="H237" s="37">
        <f t="shared" si="1"/>
        <v>1</v>
      </c>
      <c r="I237" s="37">
        <f t="shared" si="8"/>
        <v>4</v>
      </c>
      <c r="J237" s="37" t="str">
        <f>IF(COUNTIF($A$2:A237,A237)=1,"New","Repeat")</f>
        <v>Repeat</v>
      </c>
      <c r="K237" s="37">
        <f ca="1">IFERROR(__xludf.DUMMYFUNCTION("IF(I237=""4+"",
   COUNTUNIQUE(FILTER(A:A, I:I&gt;=4)),
   COUNTUNIQUE(FILTER(A:A, I:I=I237))
)"),32)</f>
        <v>32</v>
      </c>
      <c r="L237" s="36"/>
      <c r="M237" s="36"/>
      <c r="N237" s="36"/>
    </row>
    <row r="238" spans="1:14" ht="15" x14ac:dyDescent="0.25">
      <c r="A238" s="33" t="s">
        <v>50</v>
      </c>
      <c r="B238" s="39">
        <v>45976</v>
      </c>
      <c r="C238" s="35" t="str">
        <f t="shared" si="7"/>
        <v>11-2025</v>
      </c>
      <c r="D238" s="36" t="s">
        <v>14</v>
      </c>
      <c r="E238" s="36" t="s">
        <v>32</v>
      </c>
      <c r="F238" s="37">
        <v>208.82</v>
      </c>
      <c r="G238" s="36" t="s">
        <v>22</v>
      </c>
      <c r="H238" s="37">
        <f t="shared" si="1"/>
        <v>1</v>
      </c>
      <c r="I238" s="37">
        <f t="shared" si="8"/>
        <v>8</v>
      </c>
      <c r="J238" s="37" t="str">
        <f>IF(COUNTIF($A$2:A238,A238)=1,"New","Repeat")</f>
        <v>Repeat</v>
      </c>
      <c r="K238" s="37">
        <f ca="1">IFERROR(__xludf.DUMMYFUNCTION("IF(I238=""4+"",
   COUNTUNIQUE(FILTER(A:A, I:I&gt;=4)),
   COUNTUNIQUE(FILTER(A:A, I:I=I238))
)"),1)</f>
        <v>1</v>
      </c>
      <c r="L238" s="36"/>
      <c r="M238" s="36"/>
      <c r="N238" s="36"/>
    </row>
    <row r="239" spans="1:14" ht="15" x14ac:dyDescent="0.25">
      <c r="A239" s="33" t="s">
        <v>179</v>
      </c>
      <c r="B239" s="39">
        <v>45985</v>
      </c>
      <c r="C239" s="35" t="str">
        <f t="shared" si="7"/>
        <v>11-2025</v>
      </c>
      <c r="D239" s="36" t="s">
        <v>28</v>
      </c>
      <c r="E239" s="36" t="s">
        <v>45</v>
      </c>
      <c r="F239" s="37">
        <v>157.69</v>
      </c>
      <c r="G239" s="36" t="s">
        <v>70</v>
      </c>
      <c r="H239" s="37">
        <f t="shared" si="1"/>
        <v>1</v>
      </c>
      <c r="I239" s="37">
        <f t="shared" si="8"/>
        <v>3</v>
      </c>
      <c r="J239" s="37" t="str">
        <f>IF(COUNTIF($A$2:A239,A239)=1,"New","Repeat")</f>
        <v>Repeat</v>
      </c>
      <c r="K239" s="37">
        <f ca="1">IFERROR(__xludf.DUMMYFUNCTION("IF(I239=""4+"",
   COUNTUNIQUE(FILTER(A:A, I:I&gt;=4)),
   COUNTUNIQUE(FILTER(A:A, I:I=I239))
)"),42)</f>
        <v>42</v>
      </c>
      <c r="L239" s="36"/>
      <c r="M239" s="36"/>
      <c r="N239" s="36"/>
    </row>
    <row r="240" spans="1:14" ht="15" x14ac:dyDescent="0.25">
      <c r="A240" s="33" t="s">
        <v>166</v>
      </c>
      <c r="B240" s="39">
        <v>45977</v>
      </c>
      <c r="C240" s="35" t="str">
        <f t="shared" si="7"/>
        <v>11-2025</v>
      </c>
      <c r="D240" s="36" t="s">
        <v>18</v>
      </c>
      <c r="E240" s="36" t="s">
        <v>21</v>
      </c>
      <c r="F240" s="37">
        <v>258.88</v>
      </c>
      <c r="G240" s="36" t="s">
        <v>25</v>
      </c>
      <c r="H240" s="37">
        <f t="shared" si="1"/>
        <v>1</v>
      </c>
      <c r="I240" s="37">
        <f t="shared" si="8"/>
        <v>6</v>
      </c>
      <c r="J240" s="37" t="str">
        <f>IF(COUNTIF($A$2:A240,A240)=1,"New","Repeat")</f>
        <v>Repeat</v>
      </c>
      <c r="K240" s="37">
        <f ca="1">IFERROR(__xludf.DUMMYFUNCTION("IF(I240=""4+"",
   COUNTUNIQUE(FILTER(A:A, I:I&gt;=4)),
   COUNTUNIQUE(FILTER(A:A, I:I=I240))
)"),19)</f>
        <v>19</v>
      </c>
      <c r="L240" s="36"/>
      <c r="M240" s="36"/>
      <c r="N240" s="36"/>
    </row>
    <row r="241" spans="1:14" ht="15" x14ac:dyDescent="0.25">
      <c r="A241" s="33" t="s">
        <v>79</v>
      </c>
      <c r="B241" s="34">
        <v>45840</v>
      </c>
      <c r="C241" s="35" t="str">
        <f t="shared" si="7"/>
        <v>07-2025</v>
      </c>
      <c r="D241" s="36" t="s">
        <v>14</v>
      </c>
      <c r="E241" s="36" t="s">
        <v>59</v>
      </c>
      <c r="F241" s="37">
        <v>420.86</v>
      </c>
      <c r="G241" s="36" t="s">
        <v>25</v>
      </c>
      <c r="H241" s="37">
        <f t="shared" si="1"/>
        <v>1</v>
      </c>
      <c r="I241" s="37">
        <f t="shared" si="8"/>
        <v>3</v>
      </c>
      <c r="J241" s="37" t="str">
        <f>IF(COUNTIF($A$2:A241,A241)=1,"New","Repeat")</f>
        <v>Repeat</v>
      </c>
      <c r="K241" s="37">
        <f ca="1">IFERROR(__xludf.DUMMYFUNCTION("IF(I241=""4+"",
   COUNTUNIQUE(FILTER(A:A, I:I&gt;=4)),
   COUNTUNIQUE(FILTER(A:A, I:I=I241))
)"),42)</f>
        <v>42</v>
      </c>
      <c r="L241" s="36"/>
      <c r="M241" s="36"/>
      <c r="N241" s="36"/>
    </row>
    <row r="242" spans="1:14" ht="15" x14ac:dyDescent="0.25">
      <c r="A242" s="33" t="s">
        <v>56</v>
      </c>
      <c r="B242" s="39">
        <v>45985</v>
      </c>
      <c r="C242" s="35" t="str">
        <f t="shared" si="7"/>
        <v>11-2025</v>
      </c>
      <c r="D242" s="36" t="s">
        <v>14</v>
      </c>
      <c r="E242" s="36" t="s">
        <v>41</v>
      </c>
      <c r="F242" s="37">
        <v>193.56</v>
      </c>
      <c r="G242" s="36" t="s">
        <v>22</v>
      </c>
      <c r="H242" s="37">
        <f t="shared" si="1"/>
        <v>1</v>
      </c>
      <c r="I242" s="37">
        <f t="shared" si="8"/>
        <v>4</v>
      </c>
      <c r="J242" s="37" t="str">
        <f>IF(COUNTIF($A$2:A242,A242)=1,"New","Repeat")</f>
        <v>Repeat</v>
      </c>
      <c r="K242" s="37">
        <f ca="1">IFERROR(__xludf.DUMMYFUNCTION("IF(I242=""4+"",
   COUNTUNIQUE(FILTER(A:A, I:I&gt;=4)),
   COUNTUNIQUE(FILTER(A:A, I:I=I242))
)"),32)</f>
        <v>32</v>
      </c>
      <c r="L242" s="36"/>
      <c r="M242" s="36"/>
      <c r="N242" s="36"/>
    </row>
    <row r="243" spans="1:14" ht="15" x14ac:dyDescent="0.25">
      <c r="A243" s="33" t="s">
        <v>189</v>
      </c>
      <c r="B243" s="39">
        <v>46019</v>
      </c>
      <c r="C243" s="35" t="str">
        <f t="shared" si="7"/>
        <v>12-2025</v>
      </c>
      <c r="D243" s="36" t="s">
        <v>28</v>
      </c>
      <c r="E243" s="36" t="s">
        <v>74</v>
      </c>
      <c r="F243" s="37">
        <v>128.12</v>
      </c>
      <c r="G243" s="36" t="s">
        <v>25</v>
      </c>
      <c r="H243" s="37">
        <f t="shared" si="1"/>
        <v>1</v>
      </c>
      <c r="I243" s="37">
        <f t="shared" si="8"/>
        <v>4</v>
      </c>
      <c r="J243" s="37" t="str">
        <f>IF(COUNTIF($A$2:A243,A243)=1,"New","Repeat")</f>
        <v>New</v>
      </c>
      <c r="K243" s="37">
        <f ca="1">IFERROR(__xludf.DUMMYFUNCTION("IF(I243=""4+"",
   COUNTUNIQUE(FILTER(A:A, I:I&gt;=4)),
   COUNTUNIQUE(FILTER(A:A, I:I=I243))
)"),32)</f>
        <v>32</v>
      </c>
      <c r="L243" s="36"/>
      <c r="M243" s="36"/>
      <c r="N243" s="36"/>
    </row>
    <row r="244" spans="1:14" ht="15" x14ac:dyDescent="0.25">
      <c r="A244" s="33" t="s">
        <v>81</v>
      </c>
      <c r="B244" s="34">
        <v>46042</v>
      </c>
      <c r="C244" s="35" t="str">
        <f t="shared" si="7"/>
        <v>01-2026</v>
      </c>
      <c r="D244" s="36" t="s">
        <v>18</v>
      </c>
      <c r="E244" s="36" t="s">
        <v>47</v>
      </c>
      <c r="F244" s="37">
        <v>187.05</v>
      </c>
      <c r="G244" s="36" t="s">
        <v>25</v>
      </c>
      <c r="H244" s="37">
        <f t="shared" si="1"/>
        <v>1</v>
      </c>
      <c r="I244" s="37">
        <f t="shared" si="8"/>
        <v>10</v>
      </c>
      <c r="J244" s="37" t="str">
        <f>IF(COUNTIF($A$2:A244,A244)=1,"New","Repeat")</f>
        <v>Repeat</v>
      </c>
      <c r="K244" s="37">
        <f ca="1">IFERROR(__xludf.DUMMYFUNCTION("IF(I244=""4+"",
   COUNTUNIQUE(FILTER(A:A, I:I&gt;=4)),
   COUNTUNIQUE(FILTER(A:A, I:I=I244))
)"),1)</f>
        <v>1</v>
      </c>
      <c r="L244" s="36"/>
      <c r="M244" s="36"/>
      <c r="N244" s="36"/>
    </row>
    <row r="245" spans="1:14" ht="15" x14ac:dyDescent="0.25">
      <c r="A245" s="33" t="s">
        <v>169</v>
      </c>
      <c r="B245" s="39">
        <v>45941</v>
      </c>
      <c r="C245" s="35" t="str">
        <f t="shared" si="7"/>
        <v>10-2025</v>
      </c>
      <c r="D245" s="36" t="s">
        <v>14</v>
      </c>
      <c r="E245" s="36" t="s">
        <v>32</v>
      </c>
      <c r="F245" s="37">
        <v>259.45999999999998</v>
      </c>
      <c r="G245" s="36" t="s">
        <v>16</v>
      </c>
      <c r="H245" s="37">
        <f t="shared" si="1"/>
        <v>1</v>
      </c>
      <c r="I245" s="37">
        <f t="shared" si="8"/>
        <v>4</v>
      </c>
      <c r="J245" s="37" t="str">
        <f>IF(COUNTIF($A$2:A245,A245)=1,"New","Repeat")</f>
        <v>Repeat</v>
      </c>
      <c r="K245" s="37">
        <f ca="1">IFERROR(__xludf.DUMMYFUNCTION("IF(I245=""4+"",
   COUNTUNIQUE(FILTER(A:A, I:I&gt;=4)),
   COUNTUNIQUE(FILTER(A:A, I:I=I245))
)"),32)</f>
        <v>32</v>
      </c>
      <c r="L245" s="36"/>
      <c r="M245" s="36"/>
      <c r="N245" s="36"/>
    </row>
    <row r="246" spans="1:14" ht="15" x14ac:dyDescent="0.25">
      <c r="A246" s="33" t="s">
        <v>103</v>
      </c>
      <c r="B246" s="34">
        <v>45798</v>
      </c>
      <c r="C246" s="35" t="str">
        <f t="shared" si="7"/>
        <v>05-2025</v>
      </c>
      <c r="D246" s="36" t="s">
        <v>18</v>
      </c>
      <c r="E246" s="36" t="s">
        <v>65</v>
      </c>
      <c r="F246" s="37">
        <v>404.69</v>
      </c>
      <c r="G246" s="36" t="s">
        <v>16</v>
      </c>
      <c r="H246" s="37">
        <f t="shared" si="1"/>
        <v>1</v>
      </c>
      <c r="I246" s="37">
        <f t="shared" si="8"/>
        <v>2</v>
      </c>
      <c r="J246" s="37" t="str">
        <f>IF(COUNTIF($A$2:A246,A246)=1,"New","Repeat")</f>
        <v>Repeat</v>
      </c>
      <c r="K246" s="37">
        <f ca="1">IFERROR(__xludf.DUMMYFUNCTION("IF(I246=""4+"",
   COUNTUNIQUE(FILTER(A:A, I:I&gt;=4)),
   COUNTUNIQUE(FILTER(A:A, I:I=I246))
)"),37)</f>
        <v>37</v>
      </c>
      <c r="L246" s="36"/>
      <c r="M246" s="36"/>
      <c r="N246" s="36"/>
    </row>
    <row r="247" spans="1:14" ht="15" x14ac:dyDescent="0.25">
      <c r="A247" s="33" t="s">
        <v>148</v>
      </c>
      <c r="B247" s="39">
        <v>46010</v>
      </c>
      <c r="C247" s="35" t="str">
        <f t="shared" si="7"/>
        <v>12-2025</v>
      </c>
      <c r="D247" s="36" t="s">
        <v>51</v>
      </c>
      <c r="E247" s="36" t="s">
        <v>101</v>
      </c>
      <c r="F247" s="37">
        <v>391.49</v>
      </c>
      <c r="G247" s="36" t="s">
        <v>22</v>
      </c>
      <c r="H247" s="37">
        <f t="shared" si="1"/>
        <v>1</v>
      </c>
      <c r="I247" s="37">
        <f t="shared" si="8"/>
        <v>6</v>
      </c>
      <c r="J247" s="37" t="str">
        <f>IF(COUNTIF($A$2:A247,A247)=1,"New","Repeat")</f>
        <v>Repeat</v>
      </c>
      <c r="K247" s="37">
        <f ca="1">IFERROR(__xludf.DUMMYFUNCTION("IF(I247=""4+"",
   COUNTUNIQUE(FILTER(A:A, I:I&gt;=4)),
   COUNTUNIQUE(FILTER(A:A, I:I=I247))
)"),19)</f>
        <v>19</v>
      </c>
      <c r="L247" s="36"/>
      <c r="M247" s="36"/>
      <c r="N247" s="36"/>
    </row>
    <row r="248" spans="1:14" ht="15" x14ac:dyDescent="0.25">
      <c r="A248" s="33" t="s">
        <v>67</v>
      </c>
      <c r="B248" s="34">
        <v>45830</v>
      </c>
      <c r="C248" s="35" t="str">
        <f t="shared" si="7"/>
        <v>06-2025</v>
      </c>
      <c r="D248" s="36" t="s">
        <v>35</v>
      </c>
      <c r="E248" s="36" t="s">
        <v>93</v>
      </c>
      <c r="F248" s="37">
        <v>383.44</v>
      </c>
      <c r="G248" s="36" t="s">
        <v>16</v>
      </c>
      <c r="H248" s="37">
        <f t="shared" si="1"/>
        <v>1</v>
      </c>
      <c r="I248" s="37">
        <f t="shared" si="8"/>
        <v>7</v>
      </c>
      <c r="J248" s="37" t="str">
        <f>IF(COUNTIF($A$2:A248,A248)=1,"New","Repeat")</f>
        <v>Repeat</v>
      </c>
      <c r="K248" s="37">
        <f ca="1">IFERROR(__xludf.DUMMYFUNCTION("IF(I248=""4+"",
   COUNTUNIQUE(FILTER(A:A, I:I&gt;=4)),
   COUNTUNIQUE(FILTER(A:A, I:I=I248))
)"),4)</f>
        <v>4</v>
      </c>
      <c r="L248" s="36"/>
      <c r="M248" s="36"/>
      <c r="N248" s="36"/>
    </row>
    <row r="249" spans="1:14" ht="15" x14ac:dyDescent="0.25">
      <c r="A249" s="33" t="s">
        <v>64</v>
      </c>
      <c r="B249" s="34">
        <v>46040</v>
      </c>
      <c r="C249" s="35" t="str">
        <f t="shared" si="7"/>
        <v>01-2026</v>
      </c>
      <c r="D249" s="36" t="s">
        <v>28</v>
      </c>
      <c r="E249" s="36" t="s">
        <v>29</v>
      </c>
      <c r="F249" s="37">
        <v>189.69</v>
      </c>
      <c r="G249" s="36" t="s">
        <v>16</v>
      </c>
      <c r="H249" s="37">
        <f t="shared" si="1"/>
        <v>1</v>
      </c>
      <c r="I249" s="37">
        <f t="shared" si="8"/>
        <v>5</v>
      </c>
      <c r="J249" s="37" t="str">
        <f>IF(COUNTIF($A$2:A249,A249)=1,"New","Repeat")</f>
        <v>Repeat</v>
      </c>
      <c r="K249" s="37">
        <f ca="1">IFERROR(__xludf.DUMMYFUNCTION("IF(I249=""4+"",
   COUNTUNIQUE(FILTER(A:A, I:I&gt;=4)),
   COUNTUNIQUE(FILTER(A:A, I:I=I249))
)"),34)</f>
        <v>34</v>
      </c>
      <c r="L249" s="36"/>
      <c r="M249" s="36"/>
      <c r="N249" s="36"/>
    </row>
    <row r="250" spans="1:14" ht="15" x14ac:dyDescent="0.25">
      <c r="A250" s="33" t="s">
        <v>153</v>
      </c>
      <c r="B250" s="34">
        <v>45869</v>
      </c>
      <c r="C250" s="35" t="str">
        <f t="shared" si="7"/>
        <v>07-2025</v>
      </c>
      <c r="D250" s="36" t="s">
        <v>28</v>
      </c>
      <c r="E250" s="36" t="s">
        <v>45</v>
      </c>
      <c r="F250" s="37">
        <v>204.64</v>
      </c>
      <c r="G250" s="36" t="s">
        <v>22</v>
      </c>
      <c r="H250" s="37">
        <f t="shared" si="1"/>
        <v>1</v>
      </c>
      <c r="I250" s="37">
        <f t="shared" si="8"/>
        <v>3</v>
      </c>
      <c r="J250" s="37" t="str">
        <f>IF(COUNTIF($A$2:A250,A250)=1,"New","Repeat")</f>
        <v>Repeat</v>
      </c>
      <c r="K250" s="37">
        <f ca="1">IFERROR(__xludf.DUMMYFUNCTION("IF(I250=""4+"",
   COUNTUNIQUE(FILTER(A:A, I:I&gt;=4)),
   COUNTUNIQUE(FILTER(A:A, I:I=I250))
)"),42)</f>
        <v>42</v>
      </c>
      <c r="L250" s="36"/>
      <c r="M250" s="36"/>
      <c r="N250" s="36"/>
    </row>
    <row r="251" spans="1:14" ht="15" x14ac:dyDescent="0.25">
      <c r="A251" s="33" t="s">
        <v>142</v>
      </c>
      <c r="B251" s="34">
        <v>45875</v>
      </c>
      <c r="C251" s="35" t="str">
        <f t="shared" si="7"/>
        <v>08-2025</v>
      </c>
      <c r="D251" s="36" t="s">
        <v>35</v>
      </c>
      <c r="E251" s="36" t="s">
        <v>54</v>
      </c>
      <c r="F251" s="37">
        <v>185.19</v>
      </c>
      <c r="G251" s="36" t="s">
        <v>22</v>
      </c>
      <c r="H251" s="37">
        <f t="shared" si="1"/>
        <v>1</v>
      </c>
      <c r="I251" s="37">
        <f t="shared" si="8"/>
        <v>4</v>
      </c>
      <c r="J251" s="37" t="str">
        <f>IF(COUNTIF($A$2:A251,A251)=1,"New","Repeat")</f>
        <v>Repeat</v>
      </c>
      <c r="K251" s="37">
        <f ca="1">IFERROR(__xludf.DUMMYFUNCTION("IF(I251=""4+"",
   COUNTUNIQUE(FILTER(A:A, I:I&gt;=4)),
   COUNTUNIQUE(FILTER(A:A, I:I=I251))
)"),32)</f>
        <v>32</v>
      </c>
      <c r="L251" s="36"/>
      <c r="M251" s="36"/>
      <c r="N251" s="36"/>
    </row>
    <row r="252" spans="1:14" ht="15" x14ac:dyDescent="0.25">
      <c r="A252" s="33" t="s">
        <v>190</v>
      </c>
      <c r="B252" s="39">
        <v>45986</v>
      </c>
      <c r="C252" s="35" t="str">
        <f t="shared" si="7"/>
        <v>11-2025</v>
      </c>
      <c r="D252" s="36" t="s">
        <v>28</v>
      </c>
      <c r="E252" s="36" t="s">
        <v>43</v>
      </c>
      <c r="F252" s="37">
        <v>469.11</v>
      </c>
      <c r="G252" s="36" t="s">
        <v>16</v>
      </c>
      <c r="H252" s="37">
        <f t="shared" si="1"/>
        <v>1</v>
      </c>
      <c r="I252" s="37">
        <f t="shared" si="8"/>
        <v>3</v>
      </c>
      <c r="J252" s="37" t="str">
        <f>IF(COUNTIF($A$2:A252,A252)=1,"New","Repeat")</f>
        <v>New</v>
      </c>
      <c r="K252" s="37">
        <f ca="1">IFERROR(__xludf.DUMMYFUNCTION("IF(I252=""4+"",
   COUNTUNIQUE(FILTER(A:A, I:I&gt;=4)),
   COUNTUNIQUE(FILTER(A:A, I:I=I252))
)"),42)</f>
        <v>42</v>
      </c>
      <c r="L252" s="36"/>
      <c r="M252" s="36"/>
      <c r="N252" s="36"/>
    </row>
    <row r="253" spans="1:14" ht="15" x14ac:dyDescent="0.25">
      <c r="A253" s="33" t="s">
        <v>170</v>
      </c>
      <c r="B253" s="34">
        <v>45810</v>
      </c>
      <c r="C253" s="35" t="str">
        <f t="shared" si="7"/>
        <v>06-2025</v>
      </c>
      <c r="D253" s="36" t="s">
        <v>51</v>
      </c>
      <c r="E253" s="36" t="s">
        <v>72</v>
      </c>
      <c r="F253" s="37">
        <v>96.8</v>
      </c>
      <c r="G253" s="36" t="s">
        <v>33</v>
      </c>
      <c r="H253" s="37">
        <f t="shared" si="1"/>
        <v>1</v>
      </c>
      <c r="I253" s="37">
        <f t="shared" si="8"/>
        <v>6</v>
      </c>
      <c r="J253" s="37" t="str">
        <f>IF(COUNTIF($A$2:A253,A253)=1,"New","Repeat")</f>
        <v>Repeat</v>
      </c>
      <c r="K253" s="37">
        <f ca="1">IFERROR(__xludf.DUMMYFUNCTION("IF(I253=""4+"",
   COUNTUNIQUE(FILTER(A:A, I:I&gt;=4)),
   COUNTUNIQUE(FILTER(A:A, I:I=I253))
)"),19)</f>
        <v>19</v>
      </c>
      <c r="L253" s="36"/>
      <c r="M253" s="36"/>
      <c r="N253" s="36"/>
    </row>
    <row r="254" spans="1:14" ht="15" x14ac:dyDescent="0.25">
      <c r="A254" s="33" t="s">
        <v>166</v>
      </c>
      <c r="B254" s="34">
        <v>45904</v>
      </c>
      <c r="C254" s="35" t="str">
        <f t="shared" si="7"/>
        <v>09-2025</v>
      </c>
      <c r="D254" s="36" t="s">
        <v>35</v>
      </c>
      <c r="E254" s="36" t="s">
        <v>58</v>
      </c>
      <c r="F254" s="37">
        <v>440.73</v>
      </c>
      <c r="G254" s="36" t="s">
        <v>25</v>
      </c>
      <c r="H254" s="37">
        <f t="shared" si="1"/>
        <v>1</v>
      </c>
      <c r="I254" s="37">
        <f t="shared" si="8"/>
        <v>6</v>
      </c>
      <c r="J254" s="37" t="str">
        <f>IF(COUNTIF($A$2:A254,A254)=1,"New","Repeat")</f>
        <v>Repeat</v>
      </c>
      <c r="K254" s="37">
        <f ca="1">IFERROR(__xludf.DUMMYFUNCTION("IF(I254=""4+"",
   COUNTUNIQUE(FILTER(A:A, I:I&gt;=4)),
   COUNTUNIQUE(FILTER(A:A, I:I=I254))
)"),19)</f>
        <v>19</v>
      </c>
      <c r="L254" s="36"/>
      <c r="M254" s="36"/>
      <c r="N254" s="36"/>
    </row>
    <row r="255" spans="1:14" ht="15" x14ac:dyDescent="0.25">
      <c r="A255" s="33" t="s">
        <v>42</v>
      </c>
      <c r="B255" s="34">
        <v>45756</v>
      </c>
      <c r="C255" s="35" t="str">
        <f t="shared" si="7"/>
        <v>04-2025</v>
      </c>
      <c r="D255" s="36" t="s">
        <v>14</v>
      </c>
      <c r="E255" s="36" t="s">
        <v>15</v>
      </c>
      <c r="F255" s="37">
        <v>274.14</v>
      </c>
      <c r="G255" s="36" t="s">
        <v>22</v>
      </c>
      <c r="H255" s="37">
        <f t="shared" si="1"/>
        <v>1</v>
      </c>
      <c r="I255" s="37">
        <f t="shared" si="8"/>
        <v>4</v>
      </c>
      <c r="J255" s="37" t="str">
        <f>IF(COUNTIF($A$2:A255,A255)=1,"New","Repeat")</f>
        <v>Repeat</v>
      </c>
      <c r="K255" s="37">
        <f ca="1">IFERROR(__xludf.DUMMYFUNCTION("IF(I255=""4+"",
   COUNTUNIQUE(FILTER(A:A, I:I&gt;=4)),
   COUNTUNIQUE(FILTER(A:A, I:I=I255))
)"),32)</f>
        <v>32</v>
      </c>
      <c r="L255" s="36"/>
      <c r="M255" s="36"/>
      <c r="N255" s="36"/>
    </row>
    <row r="256" spans="1:14" ht="15" x14ac:dyDescent="0.25">
      <c r="A256" s="33" t="s">
        <v>102</v>
      </c>
      <c r="B256" s="34">
        <v>45964</v>
      </c>
      <c r="C256" s="35" t="str">
        <f t="shared" si="7"/>
        <v>11-2025</v>
      </c>
      <c r="D256" s="36" t="s">
        <v>14</v>
      </c>
      <c r="E256" s="36" t="s">
        <v>59</v>
      </c>
      <c r="F256" s="37">
        <v>241.28</v>
      </c>
      <c r="G256" s="36" t="s">
        <v>70</v>
      </c>
      <c r="H256" s="37">
        <f t="shared" si="1"/>
        <v>1</v>
      </c>
      <c r="I256" s="37">
        <f t="shared" si="8"/>
        <v>5</v>
      </c>
      <c r="J256" s="37" t="str">
        <f>IF(COUNTIF($A$2:A256,A256)=1,"New","Repeat")</f>
        <v>Repeat</v>
      </c>
      <c r="K256" s="37">
        <f ca="1">IFERROR(__xludf.DUMMYFUNCTION("IF(I256=""4+"",
   COUNTUNIQUE(FILTER(A:A, I:I&gt;=4)),
   COUNTUNIQUE(FILTER(A:A, I:I=I256))
)"),34)</f>
        <v>34</v>
      </c>
      <c r="L256" s="36"/>
      <c r="M256" s="36"/>
      <c r="N256" s="36"/>
    </row>
    <row r="257" spans="1:14" ht="15" x14ac:dyDescent="0.25">
      <c r="A257" s="33" t="s">
        <v>66</v>
      </c>
      <c r="B257" s="34">
        <v>45786</v>
      </c>
      <c r="C257" s="35" t="str">
        <f t="shared" si="7"/>
        <v>05-2025</v>
      </c>
      <c r="D257" s="36" t="s">
        <v>51</v>
      </c>
      <c r="E257" s="36" t="s">
        <v>52</v>
      </c>
      <c r="F257" s="37">
        <v>400.87</v>
      </c>
      <c r="G257" s="36" t="s">
        <v>30</v>
      </c>
      <c r="H257" s="37">
        <f t="shared" si="1"/>
        <v>1</v>
      </c>
      <c r="I257" s="37">
        <f t="shared" si="8"/>
        <v>3</v>
      </c>
      <c r="J257" s="37" t="str">
        <f>IF(COUNTIF($A$2:A257,A257)=1,"New","Repeat")</f>
        <v>Repeat</v>
      </c>
      <c r="K257" s="37">
        <f ca="1">IFERROR(__xludf.DUMMYFUNCTION("IF(I257=""4+"",
   COUNTUNIQUE(FILTER(A:A, I:I&gt;=4)),
   COUNTUNIQUE(FILTER(A:A, I:I=I257))
)"),42)</f>
        <v>42</v>
      </c>
      <c r="L257" s="36"/>
      <c r="M257" s="36"/>
      <c r="N257" s="36"/>
    </row>
    <row r="258" spans="1:14" ht="15" x14ac:dyDescent="0.25">
      <c r="A258" s="33" t="s">
        <v>26</v>
      </c>
      <c r="B258" s="34">
        <v>45884</v>
      </c>
      <c r="C258" s="35" t="str">
        <f t="shared" ref="C258:C321" si="9">TEXT(B:B, "mm-yyyy")</f>
        <v>08-2025</v>
      </c>
      <c r="D258" s="36" t="s">
        <v>28</v>
      </c>
      <c r="E258" s="36" t="s">
        <v>45</v>
      </c>
      <c r="F258" s="37">
        <v>355.59</v>
      </c>
      <c r="G258" s="36" t="s">
        <v>25</v>
      </c>
      <c r="H258" s="37">
        <f t="shared" si="1"/>
        <v>1</v>
      </c>
      <c r="I258" s="37">
        <f t="shared" ref="I258:I321" si="10">COUNTIF($A:$A, A258)</f>
        <v>9</v>
      </c>
      <c r="J258" s="37" t="str">
        <f>IF(COUNTIF($A$2:A258,A258)=1,"New","Repeat")</f>
        <v>Repeat</v>
      </c>
      <c r="K258" s="37">
        <f ca="1">IFERROR(__xludf.DUMMYFUNCTION("IF(I258=""4+"",
   COUNTUNIQUE(FILTER(A:A, I:I&gt;=4)),
   COUNTUNIQUE(FILTER(A:A, I:I=I258))
)"),2)</f>
        <v>2</v>
      </c>
      <c r="L258" s="36"/>
      <c r="M258" s="36"/>
      <c r="N258" s="36"/>
    </row>
    <row r="259" spans="1:14" ht="15" x14ac:dyDescent="0.25">
      <c r="A259" s="33" t="s">
        <v>46</v>
      </c>
      <c r="B259" s="34">
        <v>45716</v>
      </c>
      <c r="C259" s="35" t="str">
        <f t="shared" si="9"/>
        <v>02-2025</v>
      </c>
      <c r="D259" s="36" t="s">
        <v>51</v>
      </c>
      <c r="E259" s="36" t="s">
        <v>101</v>
      </c>
      <c r="F259" s="37">
        <v>238.22</v>
      </c>
      <c r="G259" s="36" t="s">
        <v>37</v>
      </c>
      <c r="H259" s="37">
        <f t="shared" si="1"/>
        <v>1</v>
      </c>
      <c r="I259" s="37">
        <f t="shared" si="10"/>
        <v>4</v>
      </c>
      <c r="J259" s="37" t="str">
        <f>IF(COUNTIF($A$2:A259,A259)=1,"New","Repeat")</f>
        <v>Repeat</v>
      </c>
      <c r="K259" s="37">
        <f ca="1">IFERROR(__xludf.DUMMYFUNCTION("IF(I259=""4+"",
   COUNTUNIQUE(FILTER(A:A, I:I&gt;=4)),
   COUNTUNIQUE(FILTER(A:A, I:I=I259))
)"),32)</f>
        <v>32</v>
      </c>
      <c r="L259" s="36"/>
      <c r="M259" s="36"/>
      <c r="N259" s="36"/>
    </row>
    <row r="260" spans="1:14" ht="15" x14ac:dyDescent="0.25">
      <c r="A260" s="33" t="s">
        <v>66</v>
      </c>
      <c r="B260" s="34">
        <v>45873</v>
      </c>
      <c r="C260" s="35" t="str">
        <f t="shared" si="9"/>
        <v>08-2025</v>
      </c>
      <c r="D260" s="36" t="s">
        <v>28</v>
      </c>
      <c r="E260" s="36" t="s">
        <v>45</v>
      </c>
      <c r="F260" s="37">
        <v>462.34</v>
      </c>
      <c r="G260" s="36" t="s">
        <v>30</v>
      </c>
      <c r="H260" s="37">
        <f t="shared" si="1"/>
        <v>1</v>
      </c>
      <c r="I260" s="37">
        <f t="shared" si="10"/>
        <v>3</v>
      </c>
      <c r="J260" s="37" t="str">
        <f>IF(COUNTIF($A$2:A260,A260)=1,"New","Repeat")</f>
        <v>Repeat</v>
      </c>
      <c r="K260" s="37">
        <f ca="1">IFERROR(__xludf.DUMMYFUNCTION("IF(I260=""4+"",
   COUNTUNIQUE(FILTER(A:A, I:I&gt;=4)),
   COUNTUNIQUE(FILTER(A:A, I:I=I260))
)"),42)</f>
        <v>42</v>
      </c>
      <c r="L260" s="36"/>
      <c r="M260" s="36"/>
      <c r="N260" s="36"/>
    </row>
    <row r="261" spans="1:14" ht="15" x14ac:dyDescent="0.25">
      <c r="A261" s="33" t="s">
        <v>191</v>
      </c>
      <c r="B261" s="34">
        <v>46044</v>
      </c>
      <c r="C261" s="35" t="str">
        <f t="shared" si="9"/>
        <v>01-2026</v>
      </c>
      <c r="D261" s="36" t="s">
        <v>28</v>
      </c>
      <c r="E261" s="36" t="s">
        <v>29</v>
      </c>
      <c r="F261" s="37">
        <v>429.63</v>
      </c>
      <c r="G261" s="36" t="s">
        <v>33</v>
      </c>
      <c r="H261" s="37">
        <f t="shared" si="1"/>
        <v>1</v>
      </c>
      <c r="I261" s="37">
        <f t="shared" si="10"/>
        <v>3</v>
      </c>
      <c r="J261" s="37" t="str">
        <f>IF(COUNTIF($A$2:A261,A261)=1,"New","Repeat")</f>
        <v>New</v>
      </c>
      <c r="K261" s="37">
        <f ca="1">IFERROR(__xludf.DUMMYFUNCTION("IF(I261=""4+"",
   COUNTUNIQUE(FILTER(A:A, I:I&gt;=4)),
   COUNTUNIQUE(FILTER(A:A, I:I=I261))
)"),42)</f>
        <v>42</v>
      </c>
      <c r="L261" s="36"/>
      <c r="M261" s="36"/>
      <c r="N261" s="36"/>
    </row>
    <row r="262" spans="1:14" ht="15" x14ac:dyDescent="0.25">
      <c r="A262" s="33" t="s">
        <v>132</v>
      </c>
      <c r="B262" s="39">
        <v>45956</v>
      </c>
      <c r="C262" s="35" t="str">
        <f t="shared" si="9"/>
        <v>10-2025</v>
      </c>
      <c r="D262" s="36" t="s">
        <v>28</v>
      </c>
      <c r="E262" s="36" t="s">
        <v>45</v>
      </c>
      <c r="F262" s="37">
        <v>129.02000000000001</v>
      </c>
      <c r="G262" s="36" t="s">
        <v>16</v>
      </c>
      <c r="H262" s="37">
        <f t="shared" si="1"/>
        <v>1</v>
      </c>
      <c r="I262" s="37">
        <f t="shared" si="10"/>
        <v>4</v>
      </c>
      <c r="J262" s="37" t="str">
        <f>IF(COUNTIF($A$2:A262,A262)=1,"New","Repeat")</f>
        <v>Repeat</v>
      </c>
      <c r="K262" s="37">
        <f ca="1">IFERROR(__xludf.DUMMYFUNCTION("IF(I262=""4+"",
   COUNTUNIQUE(FILTER(A:A, I:I&gt;=4)),
   COUNTUNIQUE(FILTER(A:A, I:I=I262))
)"),32)</f>
        <v>32</v>
      </c>
      <c r="L262" s="36"/>
      <c r="M262" s="36"/>
      <c r="N262" s="36"/>
    </row>
    <row r="263" spans="1:14" ht="15" x14ac:dyDescent="0.25">
      <c r="A263" s="33" t="s">
        <v>192</v>
      </c>
      <c r="B263" s="34">
        <v>46053</v>
      </c>
      <c r="C263" s="35" t="str">
        <f t="shared" si="9"/>
        <v>01-2026</v>
      </c>
      <c r="D263" s="36" t="s">
        <v>51</v>
      </c>
      <c r="E263" s="36" t="s">
        <v>101</v>
      </c>
      <c r="F263" s="37">
        <v>76.069999999999993</v>
      </c>
      <c r="G263" s="36" t="s">
        <v>22</v>
      </c>
      <c r="H263" s="37">
        <f t="shared" si="1"/>
        <v>1</v>
      </c>
      <c r="I263" s="37">
        <f t="shared" si="10"/>
        <v>5</v>
      </c>
      <c r="J263" s="37" t="str">
        <f>IF(COUNTIF($A$2:A263,A263)=1,"New","Repeat")</f>
        <v>New</v>
      </c>
      <c r="K263" s="37">
        <f ca="1">IFERROR(__xludf.DUMMYFUNCTION("IF(I263=""4+"",
   COUNTUNIQUE(FILTER(A:A, I:I&gt;=4)),
   COUNTUNIQUE(FILTER(A:A, I:I=I263))
)"),34)</f>
        <v>34</v>
      </c>
      <c r="L263" s="36"/>
      <c r="M263" s="36"/>
      <c r="N263" s="36"/>
    </row>
    <row r="264" spans="1:14" ht="15" x14ac:dyDescent="0.25">
      <c r="A264" s="33" t="s">
        <v>122</v>
      </c>
      <c r="B264" s="34">
        <v>45883</v>
      </c>
      <c r="C264" s="35" t="str">
        <f t="shared" si="9"/>
        <v>08-2025</v>
      </c>
      <c r="D264" s="36" t="s">
        <v>18</v>
      </c>
      <c r="E264" s="36" t="s">
        <v>47</v>
      </c>
      <c r="F264" s="37">
        <v>49.66</v>
      </c>
      <c r="G264" s="36" t="s">
        <v>33</v>
      </c>
      <c r="H264" s="37">
        <f t="shared" si="1"/>
        <v>1</v>
      </c>
      <c r="I264" s="37">
        <f t="shared" si="10"/>
        <v>5</v>
      </c>
      <c r="J264" s="37" t="str">
        <f>IF(COUNTIF($A$2:A264,A264)=1,"New","Repeat")</f>
        <v>Repeat</v>
      </c>
      <c r="K264" s="37">
        <f ca="1">IFERROR(__xludf.DUMMYFUNCTION("IF(I264=""4+"",
   COUNTUNIQUE(FILTER(A:A, I:I&gt;=4)),
   COUNTUNIQUE(FILTER(A:A, I:I=I264))
)"),34)</f>
        <v>34</v>
      </c>
      <c r="L264" s="36"/>
      <c r="M264" s="36"/>
      <c r="N264" s="36"/>
    </row>
    <row r="265" spans="1:14" ht="15" x14ac:dyDescent="0.25">
      <c r="A265" s="33" t="s">
        <v>193</v>
      </c>
      <c r="B265" s="34">
        <v>45873</v>
      </c>
      <c r="C265" s="35" t="str">
        <f t="shared" si="9"/>
        <v>08-2025</v>
      </c>
      <c r="D265" s="36" t="s">
        <v>51</v>
      </c>
      <c r="E265" s="36" t="s">
        <v>52</v>
      </c>
      <c r="F265" s="37">
        <v>424.94</v>
      </c>
      <c r="G265" s="36" t="s">
        <v>37</v>
      </c>
      <c r="H265" s="37">
        <f t="shared" si="1"/>
        <v>1</v>
      </c>
      <c r="I265" s="37">
        <f t="shared" si="10"/>
        <v>5</v>
      </c>
      <c r="J265" s="37" t="str">
        <f>IF(COUNTIF($A$2:A265,A265)=1,"New","Repeat")</f>
        <v>New</v>
      </c>
      <c r="K265" s="37">
        <f ca="1">IFERROR(__xludf.DUMMYFUNCTION("IF(I265=""4+"",
   COUNTUNIQUE(FILTER(A:A, I:I&gt;=4)),
   COUNTUNIQUE(FILTER(A:A, I:I=I265))
)"),34)</f>
        <v>34</v>
      </c>
      <c r="L265" s="36"/>
      <c r="M265" s="36"/>
      <c r="N265" s="36"/>
    </row>
    <row r="266" spans="1:14" ht="15" x14ac:dyDescent="0.25">
      <c r="A266" s="33" t="s">
        <v>194</v>
      </c>
      <c r="B266" s="34">
        <v>46042</v>
      </c>
      <c r="C266" s="35" t="str">
        <f t="shared" si="9"/>
        <v>01-2026</v>
      </c>
      <c r="D266" s="36" t="s">
        <v>18</v>
      </c>
      <c r="E266" s="36" t="s">
        <v>19</v>
      </c>
      <c r="F266" s="37">
        <v>160.07</v>
      </c>
      <c r="G266" s="36" t="s">
        <v>16</v>
      </c>
      <c r="H266" s="37">
        <f t="shared" si="1"/>
        <v>1</v>
      </c>
      <c r="I266" s="37">
        <f t="shared" si="10"/>
        <v>2</v>
      </c>
      <c r="J266" s="37" t="str">
        <f>IF(COUNTIF($A$2:A266,A266)=1,"New","Repeat")</f>
        <v>New</v>
      </c>
      <c r="K266" s="37">
        <f ca="1">IFERROR(__xludf.DUMMYFUNCTION("IF(I266=""4+"",
   COUNTUNIQUE(FILTER(A:A, I:I&gt;=4)),
   COUNTUNIQUE(FILTER(A:A, I:I=I266))
)"),37)</f>
        <v>37</v>
      </c>
      <c r="L266" s="36"/>
      <c r="M266" s="36"/>
      <c r="N266" s="36"/>
    </row>
    <row r="267" spans="1:14" ht="15" x14ac:dyDescent="0.25">
      <c r="A267" s="33" t="s">
        <v>110</v>
      </c>
      <c r="B267" s="34">
        <v>45887</v>
      </c>
      <c r="C267" s="35" t="str">
        <f t="shared" si="9"/>
        <v>08-2025</v>
      </c>
      <c r="D267" s="36" t="s">
        <v>18</v>
      </c>
      <c r="E267" s="36" t="s">
        <v>21</v>
      </c>
      <c r="F267" s="37">
        <v>243.83</v>
      </c>
      <c r="G267" s="36" t="s">
        <v>16</v>
      </c>
      <c r="H267" s="37">
        <f t="shared" si="1"/>
        <v>1</v>
      </c>
      <c r="I267" s="37">
        <f t="shared" si="10"/>
        <v>4</v>
      </c>
      <c r="J267" s="37" t="str">
        <f>IF(COUNTIF($A$2:A267,A267)=1,"New","Repeat")</f>
        <v>Repeat</v>
      </c>
      <c r="K267" s="37">
        <f ca="1">IFERROR(__xludf.DUMMYFUNCTION("IF(I267=""4+"",
   COUNTUNIQUE(FILTER(A:A, I:I&gt;=4)),
   COUNTUNIQUE(FILTER(A:A, I:I=I267))
)"),32)</f>
        <v>32</v>
      </c>
      <c r="L267" s="36"/>
      <c r="M267" s="36"/>
      <c r="N267" s="36"/>
    </row>
    <row r="268" spans="1:14" ht="15" x14ac:dyDescent="0.25">
      <c r="A268" s="33" t="s">
        <v>129</v>
      </c>
      <c r="B268" s="34">
        <v>45935</v>
      </c>
      <c r="C268" s="35" t="str">
        <f t="shared" si="9"/>
        <v>10-2025</v>
      </c>
      <c r="D268" s="36" t="s">
        <v>35</v>
      </c>
      <c r="E268" s="36" t="s">
        <v>58</v>
      </c>
      <c r="F268" s="37">
        <v>38.75</v>
      </c>
      <c r="G268" s="36" t="s">
        <v>16</v>
      </c>
      <c r="H268" s="37">
        <f t="shared" si="1"/>
        <v>1</v>
      </c>
      <c r="I268" s="37">
        <f t="shared" si="10"/>
        <v>5</v>
      </c>
      <c r="J268" s="37" t="str">
        <f>IF(COUNTIF($A$2:A268,A268)=1,"New","Repeat")</f>
        <v>Repeat</v>
      </c>
      <c r="K268" s="37">
        <f ca="1">IFERROR(__xludf.DUMMYFUNCTION("IF(I268=""4+"",
   COUNTUNIQUE(FILTER(A:A, I:I&gt;=4)),
   COUNTUNIQUE(FILTER(A:A, I:I=I268))
)"),34)</f>
        <v>34</v>
      </c>
      <c r="L268" s="36"/>
      <c r="M268" s="36"/>
      <c r="N268" s="36"/>
    </row>
    <row r="269" spans="1:14" ht="15" x14ac:dyDescent="0.25">
      <c r="A269" s="33" t="s">
        <v>121</v>
      </c>
      <c r="B269" s="39">
        <v>45972</v>
      </c>
      <c r="C269" s="35" t="str">
        <f t="shared" si="9"/>
        <v>11-2025</v>
      </c>
      <c r="D269" s="36" t="s">
        <v>51</v>
      </c>
      <c r="E269" s="36" t="s">
        <v>52</v>
      </c>
      <c r="F269" s="37">
        <v>445.09</v>
      </c>
      <c r="G269" s="36" t="s">
        <v>33</v>
      </c>
      <c r="H269" s="37">
        <f t="shared" si="1"/>
        <v>1</v>
      </c>
      <c r="I269" s="37">
        <f t="shared" si="10"/>
        <v>5</v>
      </c>
      <c r="J269" s="37" t="str">
        <f>IF(COUNTIF($A$2:A269,A269)=1,"New","Repeat")</f>
        <v>Repeat</v>
      </c>
      <c r="K269" s="37">
        <f ca="1">IFERROR(__xludf.DUMMYFUNCTION("IF(I269=""4+"",
   COUNTUNIQUE(FILTER(A:A, I:I&gt;=4)),
   COUNTUNIQUE(FILTER(A:A, I:I=I269))
)"),34)</f>
        <v>34</v>
      </c>
      <c r="L269" s="36"/>
      <c r="M269" s="36"/>
      <c r="N269" s="36"/>
    </row>
    <row r="270" spans="1:14" ht="15" x14ac:dyDescent="0.25">
      <c r="A270" s="33" t="s">
        <v>100</v>
      </c>
      <c r="B270" s="34">
        <v>45876</v>
      </c>
      <c r="C270" s="35" t="str">
        <f t="shared" si="9"/>
        <v>08-2025</v>
      </c>
      <c r="D270" s="36" t="s">
        <v>28</v>
      </c>
      <c r="E270" s="36" t="s">
        <v>29</v>
      </c>
      <c r="F270" s="37">
        <v>417.43</v>
      </c>
      <c r="G270" s="36" t="s">
        <v>70</v>
      </c>
      <c r="H270" s="37">
        <f t="shared" si="1"/>
        <v>1</v>
      </c>
      <c r="I270" s="37">
        <f t="shared" si="10"/>
        <v>6</v>
      </c>
      <c r="J270" s="37" t="str">
        <f>IF(COUNTIF($A$2:A270,A270)=1,"New","Repeat")</f>
        <v>Repeat</v>
      </c>
      <c r="K270" s="37">
        <f ca="1">IFERROR(__xludf.DUMMYFUNCTION("IF(I270=""4+"",
   COUNTUNIQUE(FILTER(A:A, I:I&gt;=4)),
   COUNTUNIQUE(FILTER(A:A, I:I=I270))
)"),19)</f>
        <v>19</v>
      </c>
      <c r="L270" s="36"/>
      <c r="M270" s="36"/>
      <c r="N270" s="36"/>
    </row>
    <row r="271" spans="1:14" ht="15" x14ac:dyDescent="0.25">
      <c r="A271" s="33" t="s">
        <v>113</v>
      </c>
      <c r="B271" s="34">
        <v>45739</v>
      </c>
      <c r="C271" s="35" t="str">
        <f t="shared" si="9"/>
        <v>03-2025</v>
      </c>
      <c r="D271" s="36" t="s">
        <v>18</v>
      </c>
      <c r="E271" s="36" t="s">
        <v>47</v>
      </c>
      <c r="F271" s="37">
        <v>141.72999999999999</v>
      </c>
      <c r="G271" s="36" t="s">
        <v>16</v>
      </c>
      <c r="H271" s="37">
        <f t="shared" si="1"/>
        <v>1</v>
      </c>
      <c r="I271" s="37">
        <f t="shared" si="10"/>
        <v>3</v>
      </c>
      <c r="J271" s="37" t="str">
        <f>IF(COUNTIF($A$2:A271,A271)=1,"New","Repeat")</f>
        <v>Repeat</v>
      </c>
      <c r="K271" s="37">
        <f ca="1">IFERROR(__xludf.DUMMYFUNCTION("IF(I271=""4+"",
   COUNTUNIQUE(FILTER(A:A, I:I&gt;=4)),
   COUNTUNIQUE(FILTER(A:A, I:I=I271))
)"),42)</f>
        <v>42</v>
      </c>
      <c r="L271" s="36"/>
      <c r="M271" s="36"/>
      <c r="N271" s="36"/>
    </row>
    <row r="272" spans="1:14" ht="15" x14ac:dyDescent="0.25">
      <c r="A272" s="33" t="s">
        <v>139</v>
      </c>
      <c r="B272" s="34">
        <v>45877</v>
      </c>
      <c r="C272" s="35" t="str">
        <f t="shared" si="9"/>
        <v>08-2025</v>
      </c>
      <c r="D272" s="36" t="s">
        <v>35</v>
      </c>
      <c r="E272" s="36" t="s">
        <v>54</v>
      </c>
      <c r="F272" s="37">
        <v>339.32</v>
      </c>
      <c r="G272" s="36" t="s">
        <v>22</v>
      </c>
      <c r="H272" s="37">
        <f t="shared" si="1"/>
        <v>1</v>
      </c>
      <c r="I272" s="37">
        <f t="shared" si="10"/>
        <v>5</v>
      </c>
      <c r="J272" s="37" t="str">
        <f>IF(COUNTIF($A$2:A272,A272)=1,"New","Repeat")</f>
        <v>Repeat</v>
      </c>
      <c r="K272" s="37">
        <f ca="1">IFERROR(__xludf.DUMMYFUNCTION("IF(I272=""4+"",
   COUNTUNIQUE(FILTER(A:A, I:I&gt;=4)),
   COUNTUNIQUE(FILTER(A:A, I:I=I272))
)"),34)</f>
        <v>34</v>
      </c>
      <c r="L272" s="36"/>
      <c r="M272" s="36"/>
      <c r="N272" s="36"/>
    </row>
    <row r="273" spans="1:14" ht="15" x14ac:dyDescent="0.25">
      <c r="A273" s="33" t="s">
        <v>120</v>
      </c>
      <c r="B273" s="34">
        <v>46054</v>
      </c>
      <c r="C273" s="35" t="str">
        <f t="shared" si="9"/>
        <v>02-2026</v>
      </c>
      <c r="D273" s="36" t="s">
        <v>51</v>
      </c>
      <c r="E273" s="36" t="s">
        <v>52</v>
      </c>
      <c r="F273" s="37">
        <v>434.12</v>
      </c>
      <c r="G273" s="36" t="s">
        <v>16</v>
      </c>
      <c r="H273" s="37">
        <f t="shared" si="1"/>
        <v>1</v>
      </c>
      <c r="I273" s="37">
        <f t="shared" si="10"/>
        <v>5</v>
      </c>
      <c r="J273" s="37" t="str">
        <f>IF(COUNTIF($A$2:A273,A273)=1,"New","Repeat")</f>
        <v>Repeat</v>
      </c>
      <c r="K273" s="37">
        <f ca="1">IFERROR(__xludf.DUMMYFUNCTION("IF(I273=""4+"",
   COUNTUNIQUE(FILTER(A:A, I:I&gt;=4)),
   COUNTUNIQUE(FILTER(A:A, I:I=I273))
)"),34)</f>
        <v>34</v>
      </c>
      <c r="L273" s="36"/>
      <c r="M273" s="36"/>
      <c r="N273" s="36"/>
    </row>
    <row r="274" spans="1:14" ht="15" x14ac:dyDescent="0.25">
      <c r="A274" s="33" t="s">
        <v>102</v>
      </c>
      <c r="B274" s="34">
        <v>45891</v>
      </c>
      <c r="C274" s="35" t="str">
        <f t="shared" si="9"/>
        <v>08-2025</v>
      </c>
      <c r="D274" s="36" t="s">
        <v>14</v>
      </c>
      <c r="E274" s="36" t="s">
        <v>59</v>
      </c>
      <c r="F274" s="37">
        <v>336.33</v>
      </c>
      <c r="G274" s="36" t="s">
        <v>22</v>
      </c>
      <c r="H274" s="37">
        <f t="shared" si="1"/>
        <v>1</v>
      </c>
      <c r="I274" s="37">
        <f t="shared" si="10"/>
        <v>5</v>
      </c>
      <c r="J274" s="37" t="str">
        <f>IF(COUNTIF($A$2:A274,A274)=1,"New","Repeat")</f>
        <v>Repeat</v>
      </c>
      <c r="K274" s="37">
        <f ca="1">IFERROR(__xludf.DUMMYFUNCTION("IF(I274=""4+"",
   COUNTUNIQUE(FILTER(A:A, I:I&gt;=4)),
   COUNTUNIQUE(FILTER(A:A, I:I=I274))
)"),34)</f>
        <v>34</v>
      </c>
      <c r="L274" s="36"/>
      <c r="M274" s="36"/>
      <c r="N274" s="36"/>
    </row>
    <row r="275" spans="1:14" ht="15" x14ac:dyDescent="0.25">
      <c r="A275" s="33" t="s">
        <v>125</v>
      </c>
      <c r="B275" s="34">
        <v>45970</v>
      </c>
      <c r="C275" s="35" t="str">
        <f t="shared" si="9"/>
        <v>11-2025</v>
      </c>
      <c r="D275" s="36" t="s">
        <v>51</v>
      </c>
      <c r="E275" s="36" t="s">
        <v>72</v>
      </c>
      <c r="F275" s="37">
        <v>40.96</v>
      </c>
      <c r="G275" s="36" t="s">
        <v>22</v>
      </c>
      <c r="H275" s="37">
        <f t="shared" si="1"/>
        <v>1</v>
      </c>
      <c r="I275" s="37">
        <f t="shared" si="10"/>
        <v>5</v>
      </c>
      <c r="J275" s="37" t="str">
        <f>IF(COUNTIF($A$2:A275,A275)=1,"New","Repeat")</f>
        <v>Repeat</v>
      </c>
      <c r="K275" s="37">
        <f ca="1">IFERROR(__xludf.DUMMYFUNCTION("IF(I275=""4+"",
   COUNTUNIQUE(FILTER(A:A, I:I&gt;=4)),
   COUNTUNIQUE(FILTER(A:A, I:I=I275))
)"),34)</f>
        <v>34</v>
      </c>
      <c r="L275" s="36"/>
      <c r="M275" s="36"/>
      <c r="N275" s="36"/>
    </row>
    <row r="276" spans="1:14" ht="15" x14ac:dyDescent="0.25">
      <c r="A276" s="33" t="s">
        <v>50</v>
      </c>
      <c r="B276" s="34">
        <v>45853</v>
      </c>
      <c r="C276" s="35" t="str">
        <f t="shared" si="9"/>
        <v>07-2025</v>
      </c>
      <c r="D276" s="36" t="s">
        <v>18</v>
      </c>
      <c r="E276" s="36" t="s">
        <v>21</v>
      </c>
      <c r="F276" s="37">
        <v>474.4</v>
      </c>
      <c r="G276" s="36" t="s">
        <v>22</v>
      </c>
      <c r="H276" s="37">
        <f t="shared" si="1"/>
        <v>1</v>
      </c>
      <c r="I276" s="37">
        <f t="shared" si="10"/>
        <v>8</v>
      </c>
      <c r="J276" s="37" t="str">
        <f>IF(COUNTIF($A$2:A276,A276)=1,"New","Repeat")</f>
        <v>Repeat</v>
      </c>
      <c r="K276" s="37">
        <f ca="1">IFERROR(__xludf.DUMMYFUNCTION("IF(I276=""4+"",
   COUNTUNIQUE(FILTER(A:A, I:I&gt;=4)),
   COUNTUNIQUE(FILTER(A:A, I:I=I276))
)"),1)</f>
        <v>1</v>
      </c>
      <c r="L276" s="36"/>
      <c r="M276" s="36"/>
      <c r="N276" s="36"/>
    </row>
    <row r="277" spans="1:14" ht="15" x14ac:dyDescent="0.25">
      <c r="A277" s="33" t="s">
        <v>27</v>
      </c>
      <c r="B277" s="39">
        <v>45986</v>
      </c>
      <c r="C277" s="35" t="str">
        <f t="shared" si="9"/>
        <v>11-2025</v>
      </c>
      <c r="D277" s="36" t="s">
        <v>14</v>
      </c>
      <c r="E277" s="36" t="s">
        <v>96</v>
      </c>
      <c r="F277" s="37">
        <v>72.819999999999993</v>
      </c>
      <c r="G277" s="36" t="s">
        <v>22</v>
      </c>
      <c r="H277" s="37">
        <f t="shared" si="1"/>
        <v>1</v>
      </c>
      <c r="I277" s="37">
        <f t="shared" si="10"/>
        <v>3</v>
      </c>
      <c r="J277" s="37" t="str">
        <f>IF(COUNTIF($A$2:A277,A277)=1,"New","Repeat")</f>
        <v>Repeat</v>
      </c>
      <c r="K277" s="37">
        <f ca="1">IFERROR(__xludf.DUMMYFUNCTION("IF(I277=""4+"",
   COUNTUNIQUE(FILTER(A:A, I:I&gt;=4)),
   COUNTUNIQUE(FILTER(A:A, I:I=I277))
)"),42)</f>
        <v>42</v>
      </c>
      <c r="L277" s="36"/>
      <c r="M277" s="36"/>
      <c r="N277" s="36"/>
    </row>
    <row r="278" spans="1:14" ht="15" x14ac:dyDescent="0.25">
      <c r="A278" s="33" t="s">
        <v>86</v>
      </c>
      <c r="B278" s="34">
        <v>45795</v>
      </c>
      <c r="C278" s="35" t="str">
        <f t="shared" si="9"/>
        <v>05-2025</v>
      </c>
      <c r="D278" s="36" t="s">
        <v>35</v>
      </c>
      <c r="E278" s="36" t="s">
        <v>93</v>
      </c>
      <c r="F278" s="37">
        <v>497.24</v>
      </c>
      <c r="G278" s="36" t="s">
        <v>37</v>
      </c>
      <c r="H278" s="37">
        <f t="shared" si="1"/>
        <v>1</v>
      </c>
      <c r="I278" s="37">
        <f t="shared" si="10"/>
        <v>7</v>
      </c>
      <c r="J278" s="37" t="str">
        <f>IF(COUNTIF($A$2:A278,A278)=1,"New","Repeat")</f>
        <v>Repeat</v>
      </c>
      <c r="K278" s="37">
        <f ca="1">IFERROR(__xludf.DUMMYFUNCTION("IF(I278=""4+"",
   COUNTUNIQUE(FILTER(A:A, I:I&gt;=4)),
   COUNTUNIQUE(FILTER(A:A, I:I=I278))
)"),4)</f>
        <v>4</v>
      </c>
      <c r="L278" s="36"/>
      <c r="M278" s="36"/>
      <c r="N278" s="36"/>
    </row>
    <row r="279" spans="1:14" ht="15" x14ac:dyDescent="0.25">
      <c r="A279" s="33" t="s">
        <v>55</v>
      </c>
      <c r="B279" s="39">
        <v>45985</v>
      </c>
      <c r="C279" s="35" t="str">
        <f t="shared" si="9"/>
        <v>11-2025</v>
      </c>
      <c r="D279" s="36" t="s">
        <v>14</v>
      </c>
      <c r="E279" s="36" t="s">
        <v>59</v>
      </c>
      <c r="F279" s="37">
        <v>293.42</v>
      </c>
      <c r="G279" s="36" t="s">
        <v>16</v>
      </c>
      <c r="H279" s="37">
        <f t="shared" si="1"/>
        <v>1</v>
      </c>
      <c r="I279" s="37">
        <f t="shared" si="10"/>
        <v>5</v>
      </c>
      <c r="J279" s="37" t="str">
        <f>IF(COUNTIF($A$2:A279,A279)=1,"New","Repeat")</f>
        <v>Repeat</v>
      </c>
      <c r="K279" s="37">
        <f ca="1">IFERROR(__xludf.DUMMYFUNCTION("IF(I279=""4+"",
   COUNTUNIQUE(FILTER(A:A, I:I&gt;=4)),
   COUNTUNIQUE(FILTER(A:A, I:I=I279))
)"),34)</f>
        <v>34</v>
      </c>
      <c r="L279" s="36"/>
      <c r="M279" s="36"/>
      <c r="N279" s="36"/>
    </row>
    <row r="280" spans="1:14" ht="15" x14ac:dyDescent="0.25">
      <c r="A280" s="33" t="s">
        <v>195</v>
      </c>
      <c r="B280" s="34">
        <v>45786</v>
      </c>
      <c r="C280" s="35" t="str">
        <f t="shared" si="9"/>
        <v>05-2025</v>
      </c>
      <c r="D280" s="36" t="s">
        <v>35</v>
      </c>
      <c r="E280" s="36" t="s">
        <v>58</v>
      </c>
      <c r="F280" s="37">
        <v>253.78</v>
      </c>
      <c r="G280" s="36" t="s">
        <v>16</v>
      </c>
      <c r="H280" s="37">
        <f t="shared" si="1"/>
        <v>1</v>
      </c>
      <c r="I280" s="37">
        <f t="shared" si="10"/>
        <v>6</v>
      </c>
      <c r="J280" s="37" t="str">
        <f>IF(COUNTIF($A$2:A280,A280)=1,"New","Repeat")</f>
        <v>New</v>
      </c>
      <c r="K280" s="37">
        <f ca="1">IFERROR(__xludf.DUMMYFUNCTION("IF(I280=""4+"",
   COUNTUNIQUE(FILTER(A:A, I:I&gt;=4)),
   COUNTUNIQUE(FILTER(A:A, I:I=I280))
)"),19)</f>
        <v>19</v>
      </c>
      <c r="L280" s="36"/>
      <c r="M280" s="36"/>
      <c r="N280" s="36"/>
    </row>
    <row r="281" spans="1:14" ht="15" x14ac:dyDescent="0.25">
      <c r="A281" s="33" t="s">
        <v>148</v>
      </c>
      <c r="B281" s="34">
        <v>45811</v>
      </c>
      <c r="C281" s="35" t="str">
        <f t="shared" si="9"/>
        <v>06-2025</v>
      </c>
      <c r="D281" s="36" t="s">
        <v>35</v>
      </c>
      <c r="E281" s="36" t="s">
        <v>39</v>
      </c>
      <c r="F281" s="37">
        <v>274.25</v>
      </c>
      <c r="G281" s="36" t="s">
        <v>30</v>
      </c>
      <c r="H281" s="37">
        <f t="shared" si="1"/>
        <v>1</v>
      </c>
      <c r="I281" s="37">
        <f t="shared" si="10"/>
        <v>6</v>
      </c>
      <c r="J281" s="37" t="str">
        <f>IF(COUNTIF($A$2:A281,A281)=1,"New","Repeat")</f>
        <v>Repeat</v>
      </c>
      <c r="K281" s="37">
        <f ca="1">IFERROR(__xludf.DUMMYFUNCTION("IF(I281=""4+"",
   COUNTUNIQUE(FILTER(A:A, I:I&gt;=4)),
   COUNTUNIQUE(FILTER(A:A, I:I=I281))
)"),19)</f>
        <v>19</v>
      </c>
      <c r="L281" s="36"/>
      <c r="M281" s="36"/>
      <c r="N281" s="36"/>
    </row>
    <row r="282" spans="1:14" ht="15" x14ac:dyDescent="0.25">
      <c r="A282" s="33" t="s">
        <v>196</v>
      </c>
      <c r="B282" s="34">
        <v>45744</v>
      </c>
      <c r="C282" s="35" t="str">
        <f t="shared" si="9"/>
        <v>03-2025</v>
      </c>
      <c r="D282" s="36" t="s">
        <v>51</v>
      </c>
      <c r="E282" s="36" t="s">
        <v>72</v>
      </c>
      <c r="F282" s="37">
        <v>23.39</v>
      </c>
      <c r="G282" s="36" t="s">
        <v>16</v>
      </c>
      <c r="H282" s="37">
        <f t="shared" si="1"/>
        <v>1</v>
      </c>
      <c r="I282" s="37">
        <f t="shared" si="10"/>
        <v>2</v>
      </c>
      <c r="J282" s="37" t="str">
        <f>IF(COUNTIF($A$2:A282,A282)=1,"New","Repeat")</f>
        <v>New</v>
      </c>
      <c r="K282" s="37">
        <f ca="1">IFERROR(__xludf.DUMMYFUNCTION("IF(I282=""4+"",
   COUNTUNIQUE(FILTER(A:A, I:I&gt;=4)),
   COUNTUNIQUE(FILTER(A:A, I:I=I282))
)"),37)</f>
        <v>37</v>
      </c>
      <c r="L282" s="36"/>
      <c r="M282" s="36"/>
      <c r="N282" s="36"/>
    </row>
    <row r="283" spans="1:14" ht="15" x14ac:dyDescent="0.25">
      <c r="A283" s="33" t="s">
        <v>184</v>
      </c>
      <c r="B283" s="34">
        <v>46063</v>
      </c>
      <c r="C283" s="35" t="str">
        <f t="shared" si="9"/>
        <v>02-2026</v>
      </c>
      <c r="D283" s="36" t="s">
        <v>51</v>
      </c>
      <c r="E283" s="36" t="s">
        <v>145</v>
      </c>
      <c r="F283" s="37">
        <v>39.75</v>
      </c>
      <c r="G283" s="36" t="s">
        <v>33</v>
      </c>
      <c r="H283" s="37">
        <f t="shared" si="1"/>
        <v>1</v>
      </c>
      <c r="I283" s="37">
        <f t="shared" si="10"/>
        <v>6</v>
      </c>
      <c r="J283" s="37" t="str">
        <f>IF(COUNTIF($A$2:A283,A283)=1,"New","Repeat")</f>
        <v>Repeat</v>
      </c>
      <c r="K283" s="37">
        <f ca="1">IFERROR(__xludf.DUMMYFUNCTION("IF(I283=""4+"",
   COUNTUNIQUE(FILTER(A:A, I:I&gt;=4)),
   COUNTUNIQUE(FILTER(A:A, I:I=I283))
)"),19)</f>
        <v>19</v>
      </c>
      <c r="L283" s="36"/>
      <c r="M283" s="36"/>
      <c r="N283" s="36"/>
    </row>
    <row r="284" spans="1:14" ht="15" x14ac:dyDescent="0.25">
      <c r="A284" s="33" t="s">
        <v>55</v>
      </c>
      <c r="B284" s="34">
        <v>45934</v>
      </c>
      <c r="C284" s="35" t="str">
        <f t="shared" si="9"/>
        <v>10-2025</v>
      </c>
      <c r="D284" s="36" t="s">
        <v>14</v>
      </c>
      <c r="E284" s="36" t="s">
        <v>41</v>
      </c>
      <c r="F284" s="37">
        <v>379.49</v>
      </c>
      <c r="G284" s="36" t="s">
        <v>22</v>
      </c>
      <c r="H284" s="37">
        <f t="shared" si="1"/>
        <v>1</v>
      </c>
      <c r="I284" s="37">
        <f t="shared" si="10"/>
        <v>5</v>
      </c>
      <c r="J284" s="37" t="str">
        <f>IF(COUNTIF($A$2:A284,A284)=1,"New","Repeat")</f>
        <v>Repeat</v>
      </c>
      <c r="K284" s="37">
        <f ca="1">IFERROR(__xludf.DUMMYFUNCTION("IF(I284=""4+"",
   COUNTUNIQUE(FILTER(A:A, I:I&gt;=4)),
   COUNTUNIQUE(FILTER(A:A, I:I=I284))
)"),34)</f>
        <v>34</v>
      </c>
      <c r="L284" s="36"/>
      <c r="M284" s="36"/>
      <c r="N284" s="36"/>
    </row>
    <row r="285" spans="1:14" ht="15" x14ac:dyDescent="0.25">
      <c r="A285" s="33" t="s">
        <v>118</v>
      </c>
      <c r="B285" s="39">
        <v>46003</v>
      </c>
      <c r="C285" s="35" t="str">
        <f t="shared" si="9"/>
        <v>12-2025</v>
      </c>
      <c r="D285" s="36" t="s">
        <v>28</v>
      </c>
      <c r="E285" s="36" t="s">
        <v>29</v>
      </c>
      <c r="F285" s="37">
        <v>340.15</v>
      </c>
      <c r="G285" s="36" t="s">
        <v>25</v>
      </c>
      <c r="H285" s="37">
        <f t="shared" si="1"/>
        <v>1</v>
      </c>
      <c r="I285" s="37">
        <f t="shared" si="10"/>
        <v>5</v>
      </c>
      <c r="J285" s="37" t="str">
        <f>IF(COUNTIF($A$2:A285,A285)=1,"New","Repeat")</f>
        <v>Repeat</v>
      </c>
      <c r="K285" s="37">
        <f ca="1">IFERROR(__xludf.DUMMYFUNCTION("IF(I285=""4+"",
   COUNTUNIQUE(FILTER(A:A, I:I&gt;=4)),
   COUNTUNIQUE(FILTER(A:A, I:I=I285))
)"),34)</f>
        <v>34</v>
      </c>
      <c r="L285" s="36"/>
      <c r="M285" s="36"/>
      <c r="N285" s="36"/>
    </row>
    <row r="286" spans="1:14" ht="15" x14ac:dyDescent="0.25">
      <c r="A286" s="33" t="s">
        <v>181</v>
      </c>
      <c r="B286" s="34">
        <v>46057</v>
      </c>
      <c r="C286" s="35" t="str">
        <f t="shared" si="9"/>
        <v>02-2026</v>
      </c>
      <c r="D286" s="36" t="s">
        <v>18</v>
      </c>
      <c r="E286" s="36" t="s">
        <v>24</v>
      </c>
      <c r="F286" s="37">
        <v>175.21</v>
      </c>
      <c r="G286" s="36" t="s">
        <v>33</v>
      </c>
      <c r="H286" s="37">
        <f t="shared" si="1"/>
        <v>1</v>
      </c>
      <c r="I286" s="37">
        <f t="shared" si="10"/>
        <v>5</v>
      </c>
      <c r="J286" s="37" t="str">
        <f>IF(COUNTIF($A$2:A286,A286)=1,"New","Repeat")</f>
        <v>Repeat</v>
      </c>
      <c r="K286" s="37">
        <f ca="1">IFERROR(__xludf.DUMMYFUNCTION("IF(I286=""4+"",
   COUNTUNIQUE(FILTER(A:A, I:I&gt;=4)),
   COUNTUNIQUE(FILTER(A:A, I:I=I286))
)"),34)</f>
        <v>34</v>
      </c>
      <c r="L286" s="36"/>
      <c r="M286" s="36"/>
      <c r="N286" s="36"/>
    </row>
    <row r="287" spans="1:14" ht="15" x14ac:dyDescent="0.25">
      <c r="A287" s="33" t="s">
        <v>81</v>
      </c>
      <c r="B287" s="34">
        <v>45812</v>
      </c>
      <c r="C287" s="35" t="str">
        <f t="shared" si="9"/>
        <v>06-2025</v>
      </c>
      <c r="D287" s="36" t="s">
        <v>14</v>
      </c>
      <c r="E287" s="36" t="s">
        <v>32</v>
      </c>
      <c r="F287" s="37">
        <v>274.20999999999998</v>
      </c>
      <c r="G287" s="36" t="s">
        <v>22</v>
      </c>
      <c r="H287" s="37">
        <f t="shared" si="1"/>
        <v>1</v>
      </c>
      <c r="I287" s="37">
        <f t="shared" si="10"/>
        <v>10</v>
      </c>
      <c r="J287" s="37" t="str">
        <f>IF(COUNTIF($A$2:A287,A287)=1,"New","Repeat")</f>
        <v>Repeat</v>
      </c>
      <c r="K287" s="37">
        <f ca="1">IFERROR(__xludf.DUMMYFUNCTION("IF(I287=""4+"",
   COUNTUNIQUE(FILTER(A:A, I:I&gt;=4)),
   COUNTUNIQUE(FILTER(A:A, I:I=I287))
)"),1)</f>
        <v>1</v>
      </c>
      <c r="L287" s="36"/>
      <c r="M287" s="36"/>
      <c r="N287" s="36"/>
    </row>
    <row r="288" spans="1:14" ht="15" x14ac:dyDescent="0.25">
      <c r="A288" s="33" t="s">
        <v>197</v>
      </c>
      <c r="B288" s="34">
        <v>45758</v>
      </c>
      <c r="C288" s="35" t="str">
        <f t="shared" si="9"/>
        <v>04-2025</v>
      </c>
      <c r="D288" s="36" t="s">
        <v>28</v>
      </c>
      <c r="E288" s="36" t="s">
        <v>74</v>
      </c>
      <c r="F288" s="37">
        <v>342.41</v>
      </c>
      <c r="G288" s="36" t="s">
        <v>25</v>
      </c>
      <c r="H288" s="37">
        <f t="shared" si="1"/>
        <v>1</v>
      </c>
      <c r="I288" s="37">
        <f t="shared" si="10"/>
        <v>5</v>
      </c>
      <c r="J288" s="37" t="str">
        <f>IF(COUNTIF($A$2:A288,A288)=1,"New","Repeat")</f>
        <v>New</v>
      </c>
      <c r="K288" s="37">
        <f ca="1">IFERROR(__xludf.DUMMYFUNCTION("IF(I288=""4+"",
   COUNTUNIQUE(FILTER(A:A, I:I&gt;=4)),
   COUNTUNIQUE(FILTER(A:A, I:I=I288))
)"),34)</f>
        <v>34</v>
      </c>
      <c r="L288" s="36"/>
      <c r="M288" s="36"/>
      <c r="N288" s="36"/>
    </row>
    <row r="289" spans="1:14" ht="15" x14ac:dyDescent="0.25">
      <c r="A289" s="33" t="s">
        <v>198</v>
      </c>
      <c r="B289" s="34">
        <v>45859</v>
      </c>
      <c r="C289" s="35" t="str">
        <f t="shared" si="9"/>
        <v>07-2025</v>
      </c>
      <c r="D289" s="36" t="s">
        <v>28</v>
      </c>
      <c r="E289" s="36" t="s">
        <v>29</v>
      </c>
      <c r="F289" s="37">
        <v>487.92</v>
      </c>
      <c r="G289" s="36" t="s">
        <v>30</v>
      </c>
      <c r="H289" s="37">
        <f t="shared" si="1"/>
        <v>1</v>
      </c>
      <c r="I289" s="37">
        <f t="shared" si="10"/>
        <v>6</v>
      </c>
      <c r="J289" s="37" t="str">
        <f>IF(COUNTIF($A$2:A289,A289)=1,"New","Repeat")</f>
        <v>New</v>
      </c>
      <c r="K289" s="37">
        <f ca="1">IFERROR(__xludf.DUMMYFUNCTION("IF(I289=""4+"",
   COUNTUNIQUE(FILTER(A:A, I:I&gt;=4)),
   COUNTUNIQUE(FILTER(A:A, I:I=I289))
)"),19)</f>
        <v>19</v>
      </c>
      <c r="L289" s="36"/>
      <c r="M289" s="36"/>
      <c r="N289" s="36"/>
    </row>
    <row r="290" spans="1:14" ht="15" x14ac:dyDescent="0.25">
      <c r="A290" s="33" t="s">
        <v>199</v>
      </c>
      <c r="B290" s="34">
        <v>45970</v>
      </c>
      <c r="C290" s="35" t="str">
        <f t="shared" si="9"/>
        <v>11-2025</v>
      </c>
      <c r="D290" s="36" t="s">
        <v>14</v>
      </c>
      <c r="E290" s="36" t="s">
        <v>15</v>
      </c>
      <c r="F290" s="37">
        <v>177.35</v>
      </c>
      <c r="G290" s="36" t="s">
        <v>37</v>
      </c>
      <c r="H290" s="37">
        <f t="shared" si="1"/>
        <v>1</v>
      </c>
      <c r="I290" s="37">
        <f t="shared" si="10"/>
        <v>4</v>
      </c>
      <c r="J290" s="37" t="str">
        <f>IF(COUNTIF($A$2:A290,A290)=1,"New","Repeat")</f>
        <v>New</v>
      </c>
      <c r="K290" s="37">
        <f ca="1">IFERROR(__xludf.DUMMYFUNCTION("IF(I290=""4+"",
   COUNTUNIQUE(FILTER(A:A, I:I&gt;=4)),
   COUNTUNIQUE(FILTER(A:A, I:I=I290))
)"),32)</f>
        <v>32</v>
      </c>
      <c r="L290" s="36"/>
      <c r="M290" s="36"/>
      <c r="N290" s="36"/>
    </row>
    <row r="291" spans="1:14" ht="15" x14ac:dyDescent="0.25">
      <c r="A291" s="33" t="s">
        <v>26</v>
      </c>
      <c r="B291" s="34">
        <v>45859</v>
      </c>
      <c r="C291" s="35" t="str">
        <f t="shared" si="9"/>
        <v>07-2025</v>
      </c>
      <c r="D291" s="36" t="s">
        <v>28</v>
      </c>
      <c r="E291" s="36" t="s">
        <v>87</v>
      </c>
      <c r="F291" s="37">
        <v>448.74</v>
      </c>
      <c r="G291" s="36" t="s">
        <v>25</v>
      </c>
      <c r="H291" s="37">
        <f t="shared" si="1"/>
        <v>1</v>
      </c>
      <c r="I291" s="37">
        <f t="shared" si="10"/>
        <v>9</v>
      </c>
      <c r="J291" s="37" t="str">
        <f>IF(COUNTIF($A$2:A291,A291)=1,"New","Repeat")</f>
        <v>Repeat</v>
      </c>
      <c r="K291" s="37">
        <f ca="1">IFERROR(__xludf.DUMMYFUNCTION("IF(I291=""4+"",
   COUNTUNIQUE(FILTER(A:A, I:I&gt;=4)),
   COUNTUNIQUE(FILTER(A:A, I:I=I291))
)"),2)</f>
        <v>2</v>
      </c>
      <c r="L291" s="36"/>
      <c r="M291" s="36"/>
      <c r="N291" s="36"/>
    </row>
    <row r="292" spans="1:14" ht="15" x14ac:dyDescent="0.25">
      <c r="A292" s="33" t="s">
        <v>176</v>
      </c>
      <c r="B292" s="34">
        <v>45906</v>
      </c>
      <c r="C292" s="35" t="str">
        <f t="shared" si="9"/>
        <v>09-2025</v>
      </c>
      <c r="D292" s="36" t="s">
        <v>35</v>
      </c>
      <c r="E292" s="36" t="s">
        <v>54</v>
      </c>
      <c r="F292" s="37">
        <v>393.62</v>
      </c>
      <c r="G292" s="36" t="s">
        <v>25</v>
      </c>
      <c r="H292" s="37">
        <f t="shared" si="1"/>
        <v>1</v>
      </c>
      <c r="I292" s="37">
        <f t="shared" si="10"/>
        <v>3</v>
      </c>
      <c r="J292" s="37" t="str">
        <f>IF(COUNTIF($A$2:A292,A292)=1,"New","Repeat")</f>
        <v>Repeat</v>
      </c>
      <c r="K292" s="37">
        <f ca="1">IFERROR(__xludf.DUMMYFUNCTION("IF(I292=""4+"",
   COUNTUNIQUE(FILTER(A:A, I:I&gt;=4)),
   COUNTUNIQUE(FILTER(A:A, I:I=I292))
)"),42)</f>
        <v>42</v>
      </c>
      <c r="L292" s="36"/>
      <c r="M292" s="36"/>
      <c r="N292" s="36"/>
    </row>
    <row r="293" spans="1:14" ht="15" x14ac:dyDescent="0.25">
      <c r="A293" s="33" t="s">
        <v>71</v>
      </c>
      <c r="B293" s="34">
        <v>45794</v>
      </c>
      <c r="C293" s="35" t="str">
        <f t="shared" si="9"/>
        <v>05-2025</v>
      </c>
      <c r="D293" s="36" t="s">
        <v>14</v>
      </c>
      <c r="E293" s="36" t="s">
        <v>41</v>
      </c>
      <c r="F293" s="37">
        <v>161.91</v>
      </c>
      <c r="G293" s="36" t="s">
        <v>70</v>
      </c>
      <c r="H293" s="37">
        <f t="shared" si="1"/>
        <v>1</v>
      </c>
      <c r="I293" s="37">
        <f t="shared" si="10"/>
        <v>7</v>
      </c>
      <c r="J293" s="37" t="str">
        <f>IF(COUNTIF($A$2:A293,A293)=1,"New","Repeat")</f>
        <v>Repeat</v>
      </c>
      <c r="K293" s="37">
        <f ca="1">IFERROR(__xludf.DUMMYFUNCTION("IF(I293=""4+"",
   COUNTUNIQUE(FILTER(A:A, I:I&gt;=4)),
   COUNTUNIQUE(FILTER(A:A, I:I=I293))
)"),4)</f>
        <v>4</v>
      </c>
      <c r="L293" s="36"/>
      <c r="M293" s="36"/>
      <c r="N293" s="36"/>
    </row>
    <row r="294" spans="1:14" ht="15" x14ac:dyDescent="0.25">
      <c r="A294" s="33" t="s">
        <v>179</v>
      </c>
      <c r="B294" s="34">
        <v>45752</v>
      </c>
      <c r="C294" s="35" t="str">
        <f t="shared" si="9"/>
        <v>04-2025</v>
      </c>
      <c r="D294" s="36" t="s">
        <v>28</v>
      </c>
      <c r="E294" s="36" t="s">
        <v>74</v>
      </c>
      <c r="F294" s="37">
        <v>91.74</v>
      </c>
      <c r="G294" s="36" t="s">
        <v>16</v>
      </c>
      <c r="H294" s="37">
        <f t="shared" si="1"/>
        <v>1</v>
      </c>
      <c r="I294" s="37">
        <f t="shared" si="10"/>
        <v>3</v>
      </c>
      <c r="J294" s="37" t="str">
        <f>IF(COUNTIF($A$2:A294,A294)=1,"New","Repeat")</f>
        <v>Repeat</v>
      </c>
      <c r="K294" s="37">
        <f ca="1">IFERROR(__xludf.DUMMYFUNCTION("IF(I294=""4+"",
   COUNTUNIQUE(FILTER(A:A, I:I&gt;=4)),
   COUNTUNIQUE(FILTER(A:A, I:I=I294))
)"),42)</f>
        <v>42</v>
      </c>
      <c r="L294" s="36"/>
      <c r="M294" s="36"/>
      <c r="N294" s="36"/>
    </row>
    <row r="295" spans="1:14" ht="15" x14ac:dyDescent="0.25">
      <c r="A295" s="33" t="s">
        <v>200</v>
      </c>
      <c r="B295" s="34">
        <v>45914</v>
      </c>
      <c r="C295" s="35" t="str">
        <f t="shared" si="9"/>
        <v>09-2025</v>
      </c>
      <c r="D295" s="36" t="s">
        <v>28</v>
      </c>
      <c r="E295" s="36" t="s">
        <v>29</v>
      </c>
      <c r="F295" s="37">
        <v>328.59</v>
      </c>
      <c r="G295" s="36" t="s">
        <v>30</v>
      </c>
      <c r="H295" s="37">
        <f t="shared" si="1"/>
        <v>1</v>
      </c>
      <c r="I295" s="37">
        <f t="shared" si="10"/>
        <v>6</v>
      </c>
      <c r="J295" s="37" t="str">
        <f>IF(COUNTIF($A$2:A295,A295)=1,"New","Repeat")</f>
        <v>New</v>
      </c>
      <c r="K295" s="37">
        <f ca="1">IFERROR(__xludf.DUMMYFUNCTION("IF(I295=""4+"",
   COUNTUNIQUE(FILTER(A:A, I:I&gt;=4)),
   COUNTUNIQUE(FILTER(A:A, I:I=I295))
)"),19)</f>
        <v>19</v>
      </c>
      <c r="L295" s="36"/>
      <c r="M295" s="36"/>
      <c r="N295" s="36"/>
    </row>
    <row r="296" spans="1:14" ht="15" x14ac:dyDescent="0.25">
      <c r="A296" s="33" t="s">
        <v>61</v>
      </c>
      <c r="B296" s="34">
        <v>45935</v>
      </c>
      <c r="C296" s="35" t="str">
        <f t="shared" si="9"/>
        <v>10-2025</v>
      </c>
      <c r="D296" s="36" t="s">
        <v>18</v>
      </c>
      <c r="E296" s="36" t="s">
        <v>65</v>
      </c>
      <c r="F296" s="37">
        <v>286</v>
      </c>
      <c r="G296" s="36" t="s">
        <v>70</v>
      </c>
      <c r="H296" s="37">
        <f t="shared" si="1"/>
        <v>1</v>
      </c>
      <c r="I296" s="37">
        <f t="shared" si="10"/>
        <v>6</v>
      </c>
      <c r="J296" s="37" t="str">
        <f>IF(COUNTIF($A$2:A296,A296)=1,"New","Repeat")</f>
        <v>Repeat</v>
      </c>
      <c r="K296" s="37">
        <f ca="1">IFERROR(__xludf.DUMMYFUNCTION("IF(I296=""4+"",
   COUNTUNIQUE(FILTER(A:A, I:I&gt;=4)),
   COUNTUNIQUE(FILTER(A:A, I:I=I296))
)"),19)</f>
        <v>19</v>
      </c>
      <c r="L296" s="36"/>
      <c r="M296" s="36"/>
      <c r="N296" s="36"/>
    </row>
    <row r="297" spans="1:14" ht="15" x14ac:dyDescent="0.25">
      <c r="A297" s="33" t="s">
        <v>148</v>
      </c>
      <c r="B297" s="34">
        <v>45907</v>
      </c>
      <c r="C297" s="35" t="str">
        <f t="shared" si="9"/>
        <v>09-2025</v>
      </c>
      <c r="D297" s="36" t="s">
        <v>14</v>
      </c>
      <c r="E297" s="36" t="s">
        <v>15</v>
      </c>
      <c r="F297" s="37">
        <v>432.86</v>
      </c>
      <c r="G297" s="36" t="s">
        <v>30</v>
      </c>
      <c r="H297" s="37">
        <f t="shared" si="1"/>
        <v>1</v>
      </c>
      <c r="I297" s="37">
        <f t="shared" si="10"/>
        <v>6</v>
      </c>
      <c r="J297" s="37" t="str">
        <f>IF(COUNTIF($A$2:A297,A297)=1,"New","Repeat")</f>
        <v>Repeat</v>
      </c>
      <c r="K297" s="37">
        <f ca="1">IFERROR(__xludf.DUMMYFUNCTION("IF(I297=""4+"",
   COUNTUNIQUE(FILTER(A:A, I:I&gt;=4)),
   COUNTUNIQUE(FILTER(A:A, I:I=I297))
)"),19)</f>
        <v>19</v>
      </c>
      <c r="L297" s="36"/>
      <c r="M297" s="36"/>
      <c r="N297" s="36"/>
    </row>
    <row r="298" spans="1:14" ht="15" x14ac:dyDescent="0.25">
      <c r="A298" s="33" t="s">
        <v>108</v>
      </c>
      <c r="B298" s="34">
        <v>45888</v>
      </c>
      <c r="C298" s="35" t="str">
        <f t="shared" si="9"/>
        <v>08-2025</v>
      </c>
      <c r="D298" s="36" t="s">
        <v>18</v>
      </c>
      <c r="E298" s="36" t="s">
        <v>47</v>
      </c>
      <c r="F298" s="37">
        <v>333.9</v>
      </c>
      <c r="G298" s="36" t="s">
        <v>25</v>
      </c>
      <c r="H298" s="37">
        <f t="shared" si="1"/>
        <v>1</v>
      </c>
      <c r="I298" s="37">
        <f t="shared" si="10"/>
        <v>4</v>
      </c>
      <c r="J298" s="37" t="str">
        <f>IF(COUNTIF($A$2:A298,A298)=1,"New","Repeat")</f>
        <v>Repeat</v>
      </c>
      <c r="K298" s="37">
        <f ca="1">IFERROR(__xludf.DUMMYFUNCTION("IF(I298=""4+"",
   COUNTUNIQUE(FILTER(A:A, I:I&gt;=4)),
   COUNTUNIQUE(FILTER(A:A, I:I=I298))
)"),32)</f>
        <v>32</v>
      </c>
      <c r="L298" s="36"/>
      <c r="M298" s="36"/>
      <c r="N298" s="36"/>
    </row>
    <row r="299" spans="1:14" ht="15" x14ac:dyDescent="0.25">
      <c r="A299" s="33" t="s">
        <v>83</v>
      </c>
      <c r="B299" s="34">
        <v>46062</v>
      </c>
      <c r="C299" s="35" t="str">
        <f t="shared" si="9"/>
        <v>02-2026</v>
      </c>
      <c r="D299" s="36" t="s">
        <v>18</v>
      </c>
      <c r="E299" s="36" t="s">
        <v>21</v>
      </c>
      <c r="F299" s="37">
        <v>21.06</v>
      </c>
      <c r="G299" s="36" t="s">
        <v>33</v>
      </c>
      <c r="H299" s="37">
        <f t="shared" si="1"/>
        <v>1</v>
      </c>
      <c r="I299" s="37">
        <f t="shared" si="10"/>
        <v>4</v>
      </c>
      <c r="J299" s="37" t="str">
        <f>IF(COUNTIF($A$2:A299,A299)=1,"New","Repeat")</f>
        <v>Repeat</v>
      </c>
      <c r="K299" s="37">
        <f ca="1">IFERROR(__xludf.DUMMYFUNCTION("IF(I299=""4+"",
   COUNTUNIQUE(FILTER(A:A, I:I&gt;=4)),
   COUNTUNIQUE(FILTER(A:A, I:I=I299))
)"),32)</f>
        <v>32</v>
      </c>
      <c r="L299" s="36"/>
      <c r="M299" s="36"/>
      <c r="N299" s="36"/>
    </row>
    <row r="300" spans="1:14" ht="15" x14ac:dyDescent="0.25">
      <c r="A300" s="33" t="s">
        <v>197</v>
      </c>
      <c r="B300" s="34">
        <v>45742</v>
      </c>
      <c r="C300" s="35" t="str">
        <f t="shared" si="9"/>
        <v>03-2025</v>
      </c>
      <c r="D300" s="36" t="s">
        <v>18</v>
      </c>
      <c r="E300" s="36" t="s">
        <v>47</v>
      </c>
      <c r="F300" s="37">
        <v>294.70999999999998</v>
      </c>
      <c r="G300" s="36" t="s">
        <v>33</v>
      </c>
      <c r="H300" s="37">
        <f t="shared" si="1"/>
        <v>1</v>
      </c>
      <c r="I300" s="37">
        <f t="shared" si="10"/>
        <v>5</v>
      </c>
      <c r="J300" s="37" t="str">
        <f>IF(COUNTIF($A$2:A300,A300)=1,"New","Repeat")</f>
        <v>Repeat</v>
      </c>
      <c r="K300" s="37">
        <f ca="1">IFERROR(__xludf.DUMMYFUNCTION("IF(I300=""4+"",
   COUNTUNIQUE(FILTER(A:A, I:I&gt;=4)),
   COUNTUNIQUE(FILTER(A:A, I:I=I300))
)"),34)</f>
        <v>34</v>
      </c>
      <c r="L300" s="36"/>
      <c r="M300" s="36"/>
      <c r="N300" s="36"/>
    </row>
    <row r="301" spans="1:14" ht="15" x14ac:dyDescent="0.25">
      <c r="A301" s="33" t="s">
        <v>112</v>
      </c>
      <c r="B301" s="34">
        <v>45798</v>
      </c>
      <c r="C301" s="35" t="str">
        <f t="shared" si="9"/>
        <v>05-2025</v>
      </c>
      <c r="D301" s="36" t="s">
        <v>14</v>
      </c>
      <c r="E301" s="36" t="s">
        <v>41</v>
      </c>
      <c r="F301" s="37">
        <v>430.54</v>
      </c>
      <c r="G301" s="36" t="s">
        <v>37</v>
      </c>
      <c r="H301" s="37">
        <f t="shared" si="1"/>
        <v>1</v>
      </c>
      <c r="I301" s="37">
        <f t="shared" si="10"/>
        <v>2</v>
      </c>
      <c r="J301" s="37" t="str">
        <f>IF(COUNTIF($A$2:A301,A301)=1,"New","Repeat")</f>
        <v>Repeat</v>
      </c>
      <c r="K301" s="37">
        <f ca="1">IFERROR(__xludf.DUMMYFUNCTION("IF(I301=""4+"",
   COUNTUNIQUE(FILTER(A:A, I:I&gt;=4)),
   COUNTUNIQUE(FILTER(A:A, I:I=I301))
)"),37)</f>
        <v>37</v>
      </c>
      <c r="L301" s="36"/>
      <c r="M301" s="36"/>
      <c r="N301" s="36"/>
    </row>
    <row r="302" spans="1:14" ht="15" x14ac:dyDescent="0.25">
      <c r="A302" s="33" t="s">
        <v>122</v>
      </c>
      <c r="B302" s="34">
        <v>45761</v>
      </c>
      <c r="C302" s="35" t="str">
        <f t="shared" si="9"/>
        <v>04-2025</v>
      </c>
      <c r="D302" s="36" t="s">
        <v>28</v>
      </c>
      <c r="E302" s="36" t="s">
        <v>43</v>
      </c>
      <c r="F302" s="37">
        <v>290.05</v>
      </c>
      <c r="G302" s="36" t="s">
        <v>16</v>
      </c>
      <c r="H302" s="37">
        <f t="shared" si="1"/>
        <v>1</v>
      </c>
      <c r="I302" s="37">
        <f t="shared" si="10"/>
        <v>5</v>
      </c>
      <c r="J302" s="37" t="str">
        <f>IF(COUNTIF($A$2:A302,A302)=1,"New","Repeat")</f>
        <v>Repeat</v>
      </c>
      <c r="K302" s="37">
        <f ca="1">IFERROR(__xludf.DUMMYFUNCTION("IF(I302=""4+"",
   COUNTUNIQUE(FILTER(A:A, I:I&gt;=4)),
   COUNTUNIQUE(FILTER(A:A, I:I=I302))
)"),34)</f>
        <v>34</v>
      </c>
      <c r="L302" s="36"/>
      <c r="M302" s="36"/>
      <c r="N302" s="36"/>
    </row>
    <row r="303" spans="1:14" ht="15" x14ac:dyDescent="0.25">
      <c r="A303" s="33" t="s">
        <v>201</v>
      </c>
      <c r="B303" s="34">
        <v>45830</v>
      </c>
      <c r="C303" s="35" t="str">
        <f t="shared" si="9"/>
        <v>06-2025</v>
      </c>
      <c r="D303" s="36" t="s">
        <v>18</v>
      </c>
      <c r="E303" s="36" t="s">
        <v>19</v>
      </c>
      <c r="F303" s="37">
        <v>230.56</v>
      </c>
      <c r="G303" s="36" t="s">
        <v>25</v>
      </c>
      <c r="H303" s="37">
        <f t="shared" si="1"/>
        <v>0</v>
      </c>
      <c r="I303" s="37">
        <f t="shared" si="10"/>
        <v>1</v>
      </c>
      <c r="J303" s="37" t="str">
        <f>IF(COUNTIF($A$2:A303,A303)=1,"New","Repeat")</f>
        <v>New</v>
      </c>
      <c r="K303" s="37">
        <f ca="1">IFERROR(__xludf.DUMMYFUNCTION("IF(I303=""4+"",
   COUNTUNIQUE(FILTER(A:A, I:I&gt;=4)),
   COUNTUNIQUE(FILTER(A:A, I:I=I303))
)"),24)</f>
        <v>24</v>
      </c>
      <c r="L303" s="36"/>
      <c r="M303" s="36"/>
      <c r="N303" s="36"/>
    </row>
    <row r="304" spans="1:14" ht="15" x14ac:dyDescent="0.25">
      <c r="A304" s="33" t="s">
        <v>184</v>
      </c>
      <c r="B304" s="34">
        <v>45783</v>
      </c>
      <c r="C304" s="35" t="str">
        <f t="shared" si="9"/>
        <v>05-2025</v>
      </c>
      <c r="D304" s="36" t="s">
        <v>51</v>
      </c>
      <c r="E304" s="36" t="s">
        <v>72</v>
      </c>
      <c r="F304" s="37">
        <v>204.14</v>
      </c>
      <c r="G304" s="36" t="s">
        <v>37</v>
      </c>
      <c r="H304" s="37">
        <f t="shared" si="1"/>
        <v>1</v>
      </c>
      <c r="I304" s="37">
        <f t="shared" si="10"/>
        <v>6</v>
      </c>
      <c r="J304" s="37" t="str">
        <f>IF(COUNTIF($A$2:A304,A304)=1,"New","Repeat")</f>
        <v>Repeat</v>
      </c>
      <c r="K304" s="37">
        <f ca="1">IFERROR(__xludf.DUMMYFUNCTION("IF(I304=""4+"",
   COUNTUNIQUE(FILTER(A:A, I:I&gt;=4)),
   COUNTUNIQUE(FILTER(A:A, I:I=I304))
)"),19)</f>
        <v>19</v>
      </c>
      <c r="L304" s="36"/>
      <c r="M304" s="36"/>
      <c r="N304" s="36"/>
    </row>
    <row r="305" spans="1:14" ht="15" x14ac:dyDescent="0.25">
      <c r="A305" s="33" t="s">
        <v>78</v>
      </c>
      <c r="B305" s="34">
        <v>45832</v>
      </c>
      <c r="C305" s="35" t="str">
        <f t="shared" si="9"/>
        <v>06-2025</v>
      </c>
      <c r="D305" s="36" t="s">
        <v>18</v>
      </c>
      <c r="E305" s="36" t="s">
        <v>21</v>
      </c>
      <c r="F305" s="37">
        <v>256.36</v>
      </c>
      <c r="G305" s="36" t="s">
        <v>25</v>
      </c>
      <c r="H305" s="37">
        <f t="shared" si="1"/>
        <v>1</v>
      </c>
      <c r="I305" s="37">
        <f t="shared" si="10"/>
        <v>4</v>
      </c>
      <c r="J305" s="37" t="str">
        <f>IF(COUNTIF($A$2:A305,A305)=1,"New","Repeat")</f>
        <v>Repeat</v>
      </c>
      <c r="K305" s="37">
        <f ca="1">IFERROR(__xludf.DUMMYFUNCTION("IF(I305=""4+"",
   COUNTUNIQUE(FILTER(A:A, I:I&gt;=4)),
   COUNTUNIQUE(FILTER(A:A, I:I=I305))
)"),32)</f>
        <v>32</v>
      </c>
      <c r="L305" s="36"/>
      <c r="M305" s="36"/>
      <c r="N305" s="36"/>
    </row>
    <row r="306" spans="1:14" ht="15" x14ac:dyDescent="0.25">
      <c r="A306" s="33" t="s">
        <v>189</v>
      </c>
      <c r="B306" s="34">
        <v>46063</v>
      </c>
      <c r="C306" s="35" t="str">
        <f t="shared" si="9"/>
        <v>02-2026</v>
      </c>
      <c r="D306" s="36" t="s">
        <v>35</v>
      </c>
      <c r="E306" s="36" t="s">
        <v>58</v>
      </c>
      <c r="F306" s="37">
        <v>39.01</v>
      </c>
      <c r="G306" s="36" t="s">
        <v>70</v>
      </c>
      <c r="H306" s="37">
        <f t="shared" si="1"/>
        <v>1</v>
      </c>
      <c r="I306" s="37">
        <f t="shared" si="10"/>
        <v>4</v>
      </c>
      <c r="J306" s="37" t="str">
        <f>IF(COUNTIF($A$2:A306,A306)=1,"New","Repeat")</f>
        <v>Repeat</v>
      </c>
      <c r="K306" s="37">
        <f ca="1">IFERROR(__xludf.DUMMYFUNCTION("IF(I306=""4+"",
   COUNTUNIQUE(FILTER(A:A, I:I&gt;=4)),
   COUNTUNIQUE(FILTER(A:A, I:I=I306))
)"),32)</f>
        <v>32</v>
      </c>
      <c r="L306" s="36"/>
      <c r="M306" s="36"/>
      <c r="N306" s="36"/>
    </row>
    <row r="307" spans="1:14" ht="15" x14ac:dyDescent="0.25">
      <c r="A307" s="33" t="s">
        <v>202</v>
      </c>
      <c r="B307" s="39">
        <v>45950</v>
      </c>
      <c r="C307" s="35" t="str">
        <f t="shared" si="9"/>
        <v>10-2025</v>
      </c>
      <c r="D307" s="36" t="s">
        <v>14</v>
      </c>
      <c r="E307" s="36" t="s">
        <v>96</v>
      </c>
      <c r="F307" s="37">
        <v>273.18</v>
      </c>
      <c r="G307" s="36" t="s">
        <v>33</v>
      </c>
      <c r="H307" s="37">
        <f t="shared" si="1"/>
        <v>1</v>
      </c>
      <c r="I307" s="37">
        <f t="shared" si="10"/>
        <v>4</v>
      </c>
      <c r="J307" s="37" t="str">
        <f>IF(COUNTIF($A$2:A307,A307)=1,"New","Repeat")</f>
        <v>New</v>
      </c>
      <c r="K307" s="37">
        <f ca="1">IFERROR(__xludf.DUMMYFUNCTION("IF(I307=""4+"",
   COUNTUNIQUE(FILTER(A:A, I:I&gt;=4)),
   COUNTUNIQUE(FILTER(A:A, I:I=I307))
)"),32)</f>
        <v>32</v>
      </c>
      <c r="L307" s="36"/>
      <c r="M307" s="36"/>
      <c r="N307" s="36"/>
    </row>
    <row r="308" spans="1:14" ht="15" x14ac:dyDescent="0.25">
      <c r="A308" s="33" t="s">
        <v>146</v>
      </c>
      <c r="B308" s="34">
        <v>46049</v>
      </c>
      <c r="C308" s="35" t="str">
        <f t="shared" si="9"/>
        <v>01-2026</v>
      </c>
      <c r="D308" s="36" t="s">
        <v>14</v>
      </c>
      <c r="E308" s="36" t="s">
        <v>15</v>
      </c>
      <c r="F308" s="37">
        <v>171.82</v>
      </c>
      <c r="G308" s="36" t="s">
        <v>16</v>
      </c>
      <c r="H308" s="37">
        <f t="shared" si="1"/>
        <v>1</v>
      </c>
      <c r="I308" s="37">
        <f t="shared" si="10"/>
        <v>4</v>
      </c>
      <c r="J308" s="37" t="str">
        <f>IF(COUNTIF($A$2:A308,A308)=1,"New","Repeat")</f>
        <v>Repeat</v>
      </c>
      <c r="K308" s="37">
        <f ca="1">IFERROR(__xludf.DUMMYFUNCTION("IF(I308=""4+"",
   COUNTUNIQUE(FILTER(A:A, I:I&gt;=4)),
   COUNTUNIQUE(FILTER(A:A, I:I=I308))
)"),32)</f>
        <v>32</v>
      </c>
      <c r="L308" s="36"/>
      <c r="M308" s="36"/>
      <c r="N308" s="36"/>
    </row>
    <row r="309" spans="1:14" ht="15" x14ac:dyDescent="0.25">
      <c r="A309" s="33" t="s">
        <v>203</v>
      </c>
      <c r="B309" s="34">
        <v>45853</v>
      </c>
      <c r="C309" s="35" t="str">
        <f t="shared" si="9"/>
        <v>07-2025</v>
      </c>
      <c r="D309" s="36" t="s">
        <v>14</v>
      </c>
      <c r="E309" s="36" t="s">
        <v>41</v>
      </c>
      <c r="F309" s="37">
        <v>41.64</v>
      </c>
      <c r="G309" s="36" t="s">
        <v>37</v>
      </c>
      <c r="H309" s="37">
        <f t="shared" si="1"/>
        <v>1</v>
      </c>
      <c r="I309" s="37">
        <f t="shared" si="10"/>
        <v>3</v>
      </c>
      <c r="J309" s="37" t="str">
        <f>IF(COUNTIF($A$2:A309,A309)=1,"New","Repeat")</f>
        <v>New</v>
      </c>
      <c r="K309" s="37">
        <f ca="1">IFERROR(__xludf.DUMMYFUNCTION("IF(I309=""4+"",
   COUNTUNIQUE(FILTER(A:A, I:I&gt;=4)),
   COUNTUNIQUE(FILTER(A:A, I:I=I309))
)"),42)</f>
        <v>42</v>
      </c>
      <c r="L309" s="36"/>
      <c r="M309" s="36"/>
      <c r="N309" s="36"/>
    </row>
    <row r="310" spans="1:14" ht="15" x14ac:dyDescent="0.25">
      <c r="A310" s="33" t="s">
        <v>204</v>
      </c>
      <c r="B310" s="34">
        <v>45821</v>
      </c>
      <c r="C310" s="35" t="str">
        <f t="shared" si="9"/>
        <v>06-2025</v>
      </c>
      <c r="D310" s="36" t="s">
        <v>18</v>
      </c>
      <c r="E310" s="36" t="s">
        <v>24</v>
      </c>
      <c r="F310" s="37">
        <v>313.12</v>
      </c>
      <c r="G310" s="36" t="s">
        <v>22</v>
      </c>
      <c r="H310" s="37">
        <f t="shared" si="1"/>
        <v>1</v>
      </c>
      <c r="I310" s="37">
        <f t="shared" si="10"/>
        <v>2</v>
      </c>
      <c r="J310" s="37" t="str">
        <f>IF(COUNTIF($A$2:A310,A310)=1,"New","Repeat")</f>
        <v>New</v>
      </c>
      <c r="K310" s="37">
        <f ca="1">IFERROR(__xludf.DUMMYFUNCTION("IF(I310=""4+"",
   COUNTUNIQUE(FILTER(A:A, I:I&gt;=4)),
   COUNTUNIQUE(FILTER(A:A, I:I=I310))
)"),37)</f>
        <v>37</v>
      </c>
      <c r="L310" s="36"/>
      <c r="M310" s="36"/>
      <c r="N310" s="36"/>
    </row>
    <row r="311" spans="1:14" ht="15" x14ac:dyDescent="0.25">
      <c r="A311" s="33" t="s">
        <v>151</v>
      </c>
      <c r="B311" s="34">
        <v>45711</v>
      </c>
      <c r="C311" s="35" t="str">
        <f t="shared" si="9"/>
        <v>02-2025</v>
      </c>
      <c r="D311" s="36" t="s">
        <v>35</v>
      </c>
      <c r="E311" s="36" t="s">
        <v>58</v>
      </c>
      <c r="F311" s="37">
        <v>364.23</v>
      </c>
      <c r="G311" s="36" t="s">
        <v>16</v>
      </c>
      <c r="H311" s="37">
        <f t="shared" si="1"/>
        <v>1</v>
      </c>
      <c r="I311" s="37">
        <f t="shared" si="10"/>
        <v>5</v>
      </c>
      <c r="J311" s="37" t="str">
        <f>IF(COUNTIF($A$2:A311,A311)=1,"New","Repeat")</f>
        <v>Repeat</v>
      </c>
      <c r="K311" s="37">
        <f ca="1">IFERROR(__xludf.DUMMYFUNCTION("IF(I311=""4+"",
   COUNTUNIQUE(FILTER(A:A, I:I&gt;=4)),
   COUNTUNIQUE(FILTER(A:A, I:I=I311))
)"),34)</f>
        <v>34</v>
      </c>
      <c r="L311" s="36"/>
      <c r="M311" s="36"/>
      <c r="N311" s="36"/>
    </row>
    <row r="312" spans="1:14" ht="15" x14ac:dyDescent="0.25">
      <c r="A312" s="33" t="s">
        <v>69</v>
      </c>
      <c r="B312" s="34">
        <v>45904</v>
      </c>
      <c r="C312" s="35" t="str">
        <f t="shared" si="9"/>
        <v>09-2025</v>
      </c>
      <c r="D312" s="36" t="s">
        <v>18</v>
      </c>
      <c r="E312" s="36" t="s">
        <v>19</v>
      </c>
      <c r="F312" s="37">
        <v>404.49</v>
      </c>
      <c r="G312" s="36" t="s">
        <v>25</v>
      </c>
      <c r="H312" s="37">
        <f t="shared" si="1"/>
        <v>1</v>
      </c>
      <c r="I312" s="37">
        <f t="shared" si="10"/>
        <v>4</v>
      </c>
      <c r="J312" s="37" t="str">
        <f>IF(COUNTIF($A$2:A312,A312)=1,"New","Repeat")</f>
        <v>Repeat</v>
      </c>
      <c r="K312" s="37">
        <f ca="1">IFERROR(__xludf.DUMMYFUNCTION("IF(I312=""4+"",
   COUNTUNIQUE(FILTER(A:A, I:I&gt;=4)),
   COUNTUNIQUE(FILTER(A:A, I:I=I312))
)"),32)</f>
        <v>32</v>
      </c>
      <c r="L312" s="36"/>
      <c r="M312" s="36"/>
      <c r="N312" s="36"/>
    </row>
    <row r="313" spans="1:14" ht="15" x14ac:dyDescent="0.25">
      <c r="A313" s="33" t="s">
        <v>170</v>
      </c>
      <c r="B313" s="34">
        <v>45758</v>
      </c>
      <c r="C313" s="35" t="str">
        <f t="shared" si="9"/>
        <v>04-2025</v>
      </c>
      <c r="D313" s="36" t="s">
        <v>28</v>
      </c>
      <c r="E313" s="36" t="s">
        <v>29</v>
      </c>
      <c r="F313" s="37">
        <v>468.26</v>
      </c>
      <c r="G313" s="36" t="s">
        <v>37</v>
      </c>
      <c r="H313" s="37">
        <f t="shared" si="1"/>
        <v>1</v>
      </c>
      <c r="I313" s="37">
        <f t="shared" si="10"/>
        <v>6</v>
      </c>
      <c r="J313" s="37" t="str">
        <f>IF(COUNTIF($A$2:A313,A313)=1,"New","Repeat")</f>
        <v>Repeat</v>
      </c>
      <c r="K313" s="37">
        <f ca="1">IFERROR(__xludf.DUMMYFUNCTION("IF(I313=""4+"",
   COUNTUNIQUE(FILTER(A:A, I:I&gt;=4)),
   COUNTUNIQUE(FILTER(A:A, I:I=I313))
)"),19)</f>
        <v>19</v>
      </c>
      <c r="L313" s="36"/>
      <c r="M313" s="36"/>
      <c r="N313" s="36"/>
    </row>
    <row r="314" spans="1:14" ht="15" x14ac:dyDescent="0.25">
      <c r="A314" s="33" t="s">
        <v>44</v>
      </c>
      <c r="B314" s="34">
        <v>45711</v>
      </c>
      <c r="C314" s="35" t="str">
        <f t="shared" si="9"/>
        <v>02-2025</v>
      </c>
      <c r="D314" s="36" t="s">
        <v>28</v>
      </c>
      <c r="E314" s="36" t="s">
        <v>74</v>
      </c>
      <c r="F314" s="37">
        <v>253.72</v>
      </c>
      <c r="G314" s="36" t="s">
        <v>37</v>
      </c>
      <c r="H314" s="37">
        <f t="shared" si="1"/>
        <v>1</v>
      </c>
      <c r="I314" s="37">
        <f t="shared" si="10"/>
        <v>5</v>
      </c>
      <c r="J314" s="37" t="str">
        <f>IF(COUNTIF($A$2:A314,A314)=1,"New","Repeat")</f>
        <v>Repeat</v>
      </c>
      <c r="K314" s="37">
        <f ca="1">IFERROR(__xludf.DUMMYFUNCTION("IF(I314=""4+"",
   COUNTUNIQUE(FILTER(A:A, I:I&gt;=4)),
   COUNTUNIQUE(FILTER(A:A, I:I=I314))
)"),34)</f>
        <v>34</v>
      </c>
      <c r="L314" s="36"/>
      <c r="M314" s="36"/>
      <c r="N314" s="36"/>
    </row>
    <row r="315" spans="1:14" ht="15" x14ac:dyDescent="0.25">
      <c r="A315" s="33" t="s">
        <v>205</v>
      </c>
      <c r="B315" s="34">
        <v>45939</v>
      </c>
      <c r="C315" s="35" t="str">
        <f t="shared" si="9"/>
        <v>10-2025</v>
      </c>
      <c r="D315" s="36" t="s">
        <v>18</v>
      </c>
      <c r="E315" s="36" t="s">
        <v>21</v>
      </c>
      <c r="F315" s="37">
        <v>199.5</v>
      </c>
      <c r="G315" s="36" t="s">
        <v>16</v>
      </c>
      <c r="H315" s="37">
        <f t="shared" si="1"/>
        <v>1</v>
      </c>
      <c r="I315" s="37">
        <f t="shared" si="10"/>
        <v>2</v>
      </c>
      <c r="J315" s="37" t="str">
        <f>IF(COUNTIF($A$2:A315,A315)=1,"New","Repeat")</f>
        <v>New</v>
      </c>
      <c r="K315" s="37">
        <f ca="1">IFERROR(__xludf.DUMMYFUNCTION("IF(I315=""4+"",
   COUNTUNIQUE(FILTER(A:A, I:I&gt;=4)),
   COUNTUNIQUE(FILTER(A:A, I:I=I315))
)"),37)</f>
        <v>37</v>
      </c>
      <c r="L315" s="36"/>
      <c r="M315" s="36"/>
      <c r="N315" s="36"/>
    </row>
    <row r="316" spans="1:14" ht="15" x14ac:dyDescent="0.25">
      <c r="A316" s="33" t="s">
        <v>27</v>
      </c>
      <c r="B316" s="34">
        <v>46039</v>
      </c>
      <c r="C316" s="35" t="str">
        <f t="shared" si="9"/>
        <v>01-2026</v>
      </c>
      <c r="D316" s="36" t="s">
        <v>35</v>
      </c>
      <c r="E316" s="36" t="s">
        <v>54</v>
      </c>
      <c r="F316" s="37">
        <v>441.77</v>
      </c>
      <c r="G316" s="36" t="s">
        <v>25</v>
      </c>
      <c r="H316" s="37">
        <f t="shared" si="1"/>
        <v>1</v>
      </c>
      <c r="I316" s="37">
        <f t="shared" si="10"/>
        <v>3</v>
      </c>
      <c r="J316" s="37" t="str">
        <f>IF(COUNTIF($A$2:A316,A316)=1,"New","Repeat")</f>
        <v>Repeat</v>
      </c>
      <c r="K316" s="37">
        <f ca="1">IFERROR(__xludf.DUMMYFUNCTION("IF(I316=""4+"",
   COUNTUNIQUE(FILTER(A:A, I:I&gt;=4)),
   COUNTUNIQUE(FILTER(A:A, I:I=I316))
)"),42)</f>
        <v>42</v>
      </c>
      <c r="L316" s="36"/>
      <c r="M316" s="36"/>
      <c r="N316" s="36"/>
    </row>
    <row r="317" spans="1:14" ht="15" x14ac:dyDescent="0.25">
      <c r="A317" s="33" t="s">
        <v>92</v>
      </c>
      <c r="B317" s="34">
        <v>45779</v>
      </c>
      <c r="C317" s="35" t="str">
        <f t="shared" si="9"/>
        <v>05-2025</v>
      </c>
      <c r="D317" s="36" t="s">
        <v>14</v>
      </c>
      <c r="E317" s="36" t="s">
        <v>96</v>
      </c>
      <c r="F317" s="37">
        <v>286.06</v>
      </c>
      <c r="G317" s="36" t="s">
        <v>16</v>
      </c>
      <c r="H317" s="37">
        <f t="shared" si="1"/>
        <v>1</v>
      </c>
      <c r="I317" s="37">
        <f t="shared" si="10"/>
        <v>6</v>
      </c>
      <c r="J317" s="37" t="str">
        <f>IF(COUNTIF($A$2:A317,A317)=1,"New","Repeat")</f>
        <v>Repeat</v>
      </c>
      <c r="K317" s="37">
        <f ca="1">IFERROR(__xludf.DUMMYFUNCTION("IF(I317=""4+"",
   COUNTUNIQUE(FILTER(A:A, I:I&gt;=4)),
   COUNTUNIQUE(FILTER(A:A, I:I=I317))
)"),19)</f>
        <v>19</v>
      </c>
      <c r="L317" s="36"/>
      <c r="M317" s="36"/>
      <c r="N317" s="36"/>
    </row>
    <row r="318" spans="1:14" ht="15" x14ac:dyDescent="0.25">
      <c r="A318" s="33" t="s">
        <v>144</v>
      </c>
      <c r="B318" s="34">
        <v>45728</v>
      </c>
      <c r="C318" s="35" t="str">
        <f t="shared" si="9"/>
        <v>03-2025</v>
      </c>
      <c r="D318" s="36" t="s">
        <v>18</v>
      </c>
      <c r="E318" s="36" t="s">
        <v>65</v>
      </c>
      <c r="F318" s="37">
        <v>412.32</v>
      </c>
      <c r="G318" s="36" t="s">
        <v>70</v>
      </c>
      <c r="H318" s="37">
        <f t="shared" si="1"/>
        <v>1</v>
      </c>
      <c r="I318" s="37">
        <f t="shared" si="10"/>
        <v>5</v>
      </c>
      <c r="J318" s="37" t="str">
        <f>IF(COUNTIF($A$2:A318,A318)=1,"New","Repeat")</f>
        <v>Repeat</v>
      </c>
      <c r="K318" s="37">
        <f ca="1">IFERROR(__xludf.DUMMYFUNCTION("IF(I318=""4+"",
   COUNTUNIQUE(FILTER(A:A, I:I&gt;=4)),
   COUNTUNIQUE(FILTER(A:A, I:I=I318))
)"),34)</f>
        <v>34</v>
      </c>
      <c r="L318" s="36"/>
      <c r="M318" s="36"/>
      <c r="N318" s="36"/>
    </row>
    <row r="319" spans="1:14" ht="15" x14ac:dyDescent="0.25">
      <c r="A319" s="33" t="s">
        <v>206</v>
      </c>
      <c r="B319" s="34">
        <v>45768</v>
      </c>
      <c r="C319" s="35" t="str">
        <f t="shared" si="9"/>
        <v>04-2025</v>
      </c>
      <c r="D319" s="36" t="s">
        <v>35</v>
      </c>
      <c r="E319" s="36" t="s">
        <v>93</v>
      </c>
      <c r="F319" s="37">
        <v>257.08</v>
      </c>
      <c r="G319" s="36" t="s">
        <v>37</v>
      </c>
      <c r="H319" s="37">
        <f t="shared" si="1"/>
        <v>1</v>
      </c>
      <c r="I319" s="37">
        <f t="shared" si="10"/>
        <v>2</v>
      </c>
      <c r="J319" s="37" t="str">
        <f>IF(COUNTIF($A$2:A319,A319)=1,"New","Repeat")</f>
        <v>New</v>
      </c>
      <c r="K319" s="37">
        <f ca="1">IFERROR(__xludf.DUMMYFUNCTION("IF(I319=""4+"",
   COUNTUNIQUE(FILTER(A:A, I:I&gt;=4)),
   COUNTUNIQUE(FILTER(A:A, I:I=I319))
)"),37)</f>
        <v>37</v>
      </c>
      <c r="L319" s="36"/>
      <c r="M319" s="36"/>
      <c r="N319" s="36"/>
    </row>
    <row r="320" spans="1:14" ht="15" x14ac:dyDescent="0.25">
      <c r="A320" s="33" t="s">
        <v>88</v>
      </c>
      <c r="B320" s="34">
        <v>45818</v>
      </c>
      <c r="C320" s="35" t="str">
        <f t="shared" si="9"/>
        <v>06-2025</v>
      </c>
      <c r="D320" s="36" t="s">
        <v>28</v>
      </c>
      <c r="E320" s="36" t="s">
        <v>87</v>
      </c>
      <c r="F320" s="37">
        <v>28.14</v>
      </c>
      <c r="G320" s="36" t="s">
        <v>25</v>
      </c>
      <c r="H320" s="37">
        <f t="shared" si="1"/>
        <v>1</v>
      </c>
      <c r="I320" s="37">
        <f t="shared" si="10"/>
        <v>5</v>
      </c>
      <c r="J320" s="37" t="str">
        <f>IF(COUNTIF($A$2:A320,A320)=1,"New","Repeat")</f>
        <v>Repeat</v>
      </c>
      <c r="K320" s="37">
        <f ca="1">IFERROR(__xludf.DUMMYFUNCTION("IF(I320=""4+"",
   COUNTUNIQUE(FILTER(A:A, I:I&gt;=4)),
   COUNTUNIQUE(FILTER(A:A, I:I=I320))
)"),34)</f>
        <v>34</v>
      </c>
      <c r="L320" s="36"/>
      <c r="M320" s="36"/>
      <c r="N320" s="36"/>
    </row>
    <row r="321" spans="1:14" ht="15" x14ac:dyDescent="0.25">
      <c r="A321" s="33" t="s">
        <v>142</v>
      </c>
      <c r="B321" s="34">
        <v>46027</v>
      </c>
      <c r="C321" s="35" t="str">
        <f t="shared" si="9"/>
        <v>01-2026</v>
      </c>
      <c r="D321" s="36" t="s">
        <v>51</v>
      </c>
      <c r="E321" s="36" t="s">
        <v>101</v>
      </c>
      <c r="F321" s="37">
        <v>436.71</v>
      </c>
      <c r="G321" s="36" t="s">
        <v>22</v>
      </c>
      <c r="H321" s="37">
        <f t="shared" si="1"/>
        <v>1</v>
      </c>
      <c r="I321" s="37">
        <f t="shared" si="10"/>
        <v>4</v>
      </c>
      <c r="J321" s="37" t="str">
        <f>IF(COUNTIF($A$2:A321,A321)=1,"New","Repeat")</f>
        <v>Repeat</v>
      </c>
      <c r="K321" s="37">
        <f ca="1">IFERROR(__xludf.DUMMYFUNCTION("IF(I321=""4+"",
   COUNTUNIQUE(FILTER(A:A, I:I&gt;=4)),
   COUNTUNIQUE(FILTER(A:A, I:I=I321))
)"),32)</f>
        <v>32</v>
      </c>
      <c r="L321" s="36"/>
      <c r="M321" s="36"/>
      <c r="N321" s="36"/>
    </row>
    <row r="322" spans="1:14" ht="15" x14ac:dyDescent="0.25">
      <c r="A322" s="33" t="s">
        <v>173</v>
      </c>
      <c r="B322" s="34">
        <v>45848</v>
      </c>
      <c r="C322" s="35" t="str">
        <f t="shared" ref="C322:C385" si="11">TEXT(B:B, "mm-yyyy")</f>
        <v>07-2025</v>
      </c>
      <c r="D322" s="36" t="s">
        <v>28</v>
      </c>
      <c r="E322" s="36" t="s">
        <v>74</v>
      </c>
      <c r="F322" s="37">
        <v>37.409999999999997</v>
      </c>
      <c r="G322" s="36" t="s">
        <v>33</v>
      </c>
      <c r="H322" s="37">
        <f t="shared" si="1"/>
        <v>1</v>
      </c>
      <c r="I322" s="37">
        <f t="shared" ref="I322:I385" si="12">COUNTIF($A:$A, A322)</f>
        <v>2</v>
      </c>
      <c r="J322" s="37" t="str">
        <f>IF(COUNTIF($A$2:A322,A322)=1,"New","Repeat")</f>
        <v>Repeat</v>
      </c>
      <c r="K322" s="37">
        <f ca="1">IFERROR(__xludf.DUMMYFUNCTION("IF(I322=""4+"",
   COUNTUNIQUE(FILTER(A:A, I:I&gt;=4)),
   COUNTUNIQUE(FILTER(A:A, I:I=I322))
)"),37)</f>
        <v>37</v>
      </c>
      <c r="L322" s="36"/>
      <c r="M322" s="36"/>
      <c r="N322" s="36"/>
    </row>
    <row r="323" spans="1:14" ht="15" x14ac:dyDescent="0.25">
      <c r="A323" s="33" t="s">
        <v>181</v>
      </c>
      <c r="B323" s="34">
        <v>45925</v>
      </c>
      <c r="C323" s="35" t="str">
        <f t="shared" si="11"/>
        <v>09-2025</v>
      </c>
      <c r="D323" s="36" t="s">
        <v>51</v>
      </c>
      <c r="E323" s="36" t="s">
        <v>68</v>
      </c>
      <c r="F323" s="37">
        <v>454.77</v>
      </c>
      <c r="G323" s="36" t="s">
        <v>30</v>
      </c>
      <c r="H323" s="37">
        <f t="shared" si="1"/>
        <v>1</v>
      </c>
      <c r="I323" s="37">
        <f t="shared" si="12"/>
        <v>5</v>
      </c>
      <c r="J323" s="37" t="str">
        <f>IF(COUNTIF($A$2:A323,A323)=1,"New","Repeat")</f>
        <v>Repeat</v>
      </c>
      <c r="K323" s="37">
        <f ca="1">IFERROR(__xludf.DUMMYFUNCTION("IF(I323=""4+"",
   COUNTUNIQUE(FILTER(A:A, I:I&gt;=4)),
   COUNTUNIQUE(FILTER(A:A, I:I=I323))
)"),34)</f>
        <v>34</v>
      </c>
      <c r="L323" s="36"/>
      <c r="M323" s="36"/>
      <c r="N323" s="36"/>
    </row>
    <row r="324" spans="1:14" ht="15" x14ac:dyDescent="0.25">
      <c r="A324" s="33" t="s">
        <v>158</v>
      </c>
      <c r="B324" s="34">
        <v>45867</v>
      </c>
      <c r="C324" s="35" t="str">
        <f t="shared" si="11"/>
        <v>07-2025</v>
      </c>
      <c r="D324" s="36" t="s">
        <v>14</v>
      </c>
      <c r="E324" s="36" t="s">
        <v>59</v>
      </c>
      <c r="F324" s="37">
        <v>41.7</v>
      </c>
      <c r="G324" s="36" t="s">
        <v>22</v>
      </c>
      <c r="H324" s="37">
        <f t="shared" si="1"/>
        <v>1</v>
      </c>
      <c r="I324" s="37">
        <f t="shared" si="12"/>
        <v>3</v>
      </c>
      <c r="J324" s="37" t="str">
        <f>IF(COUNTIF($A$2:A324,A324)=1,"New","Repeat")</f>
        <v>Repeat</v>
      </c>
      <c r="K324" s="37">
        <f ca="1">IFERROR(__xludf.DUMMYFUNCTION("IF(I324=""4+"",
   COUNTUNIQUE(FILTER(A:A, I:I&gt;=4)),
   COUNTUNIQUE(FILTER(A:A, I:I=I324))
)"),42)</f>
        <v>42</v>
      </c>
      <c r="L324" s="36"/>
      <c r="M324" s="36"/>
      <c r="N324" s="36"/>
    </row>
    <row r="325" spans="1:14" ht="15" x14ac:dyDescent="0.25">
      <c r="A325" s="33" t="s">
        <v>162</v>
      </c>
      <c r="B325" s="34">
        <v>45901</v>
      </c>
      <c r="C325" s="35" t="str">
        <f t="shared" si="11"/>
        <v>09-2025</v>
      </c>
      <c r="D325" s="36" t="s">
        <v>51</v>
      </c>
      <c r="E325" s="36" t="s">
        <v>52</v>
      </c>
      <c r="F325" s="37">
        <v>443.16</v>
      </c>
      <c r="G325" s="36" t="s">
        <v>25</v>
      </c>
      <c r="H325" s="37">
        <f t="shared" si="1"/>
        <v>1</v>
      </c>
      <c r="I325" s="37">
        <f t="shared" si="12"/>
        <v>5</v>
      </c>
      <c r="J325" s="37" t="str">
        <f>IF(COUNTIF($A$2:A325,A325)=1,"New","Repeat")</f>
        <v>Repeat</v>
      </c>
      <c r="K325" s="37">
        <f ca="1">IFERROR(__xludf.DUMMYFUNCTION("IF(I325=""4+"",
   COUNTUNIQUE(FILTER(A:A, I:I&gt;=4)),
   COUNTUNIQUE(FILTER(A:A, I:I=I325))
)"),34)</f>
        <v>34</v>
      </c>
      <c r="L325" s="36"/>
      <c r="M325" s="36"/>
      <c r="N325" s="36"/>
    </row>
    <row r="326" spans="1:14" ht="15" x14ac:dyDescent="0.25">
      <c r="A326" s="33" t="s">
        <v>193</v>
      </c>
      <c r="B326" s="34">
        <v>45738</v>
      </c>
      <c r="C326" s="35" t="str">
        <f t="shared" si="11"/>
        <v>03-2025</v>
      </c>
      <c r="D326" s="36" t="s">
        <v>14</v>
      </c>
      <c r="E326" s="36" t="s">
        <v>41</v>
      </c>
      <c r="F326" s="37">
        <v>438.15</v>
      </c>
      <c r="G326" s="36" t="s">
        <v>37</v>
      </c>
      <c r="H326" s="37">
        <f t="shared" si="1"/>
        <v>1</v>
      </c>
      <c r="I326" s="37">
        <f t="shared" si="12"/>
        <v>5</v>
      </c>
      <c r="J326" s="37" t="str">
        <f>IF(COUNTIF($A$2:A326,A326)=1,"New","Repeat")</f>
        <v>Repeat</v>
      </c>
      <c r="K326" s="37">
        <f ca="1">IFERROR(__xludf.DUMMYFUNCTION("IF(I326=""4+"",
   COUNTUNIQUE(FILTER(A:A, I:I&gt;=4)),
   COUNTUNIQUE(FILTER(A:A, I:I=I326))
)"),34)</f>
        <v>34</v>
      </c>
      <c r="L326" s="36"/>
      <c r="M326" s="36"/>
      <c r="N326" s="36"/>
    </row>
    <row r="327" spans="1:14" ht="15" x14ac:dyDescent="0.25">
      <c r="A327" s="33" t="s">
        <v>165</v>
      </c>
      <c r="B327" s="34">
        <v>45730</v>
      </c>
      <c r="C327" s="35" t="str">
        <f t="shared" si="11"/>
        <v>03-2025</v>
      </c>
      <c r="D327" s="36" t="s">
        <v>18</v>
      </c>
      <c r="E327" s="36" t="s">
        <v>19</v>
      </c>
      <c r="F327" s="37">
        <v>452.02</v>
      </c>
      <c r="G327" s="36" t="s">
        <v>37</v>
      </c>
      <c r="H327" s="37">
        <f t="shared" si="1"/>
        <v>1</v>
      </c>
      <c r="I327" s="37">
        <f t="shared" si="12"/>
        <v>4</v>
      </c>
      <c r="J327" s="37" t="str">
        <f>IF(COUNTIF($A$2:A327,A327)=1,"New","Repeat")</f>
        <v>Repeat</v>
      </c>
      <c r="K327" s="37">
        <f ca="1">IFERROR(__xludf.DUMMYFUNCTION("IF(I327=""4+"",
   COUNTUNIQUE(FILTER(A:A, I:I&gt;=4)),
   COUNTUNIQUE(FILTER(A:A, I:I=I327))
)"),32)</f>
        <v>32</v>
      </c>
      <c r="L327" s="36"/>
      <c r="M327" s="36"/>
      <c r="N327" s="36"/>
    </row>
    <row r="328" spans="1:14" ht="15" x14ac:dyDescent="0.25">
      <c r="A328" s="33" t="s">
        <v>142</v>
      </c>
      <c r="B328" s="34">
        <v>45831</v>
      </c>
      <c r="C328" s="35" t="str">
        <f t="shared" si="11"/>
        <v>06-2025</v>
      </c>
      <c r="D328" s="36" t="s">
        <v>51</v>
      </c>
      <c r="E328" s="36" t="s">
        <v>52</v>
      </c>
      <c r="F328" s="37">
        <v>159.28</v>
      </c>
      <c r="G328" s="36" t="s">
        <v>30</v>
      </c>
      <c r="H328" s="37">
        <f t="shared" si="1"/>
        <v>1</v>
      </c>
      <c r="I328" s="37">
        <f t="shared" si="12"/>
        <v>4</v>
      </c>
      <c r="J328" s="37" t="str">
        <f>IF(COUNTIF($A$2:A328,A328)=1,"New","Repeat")</f>
        <v>Repeat</v>
      </c>
      <c r="K328" s="37">
        <f ca="1">IFERROR(__xludf.DUMMYFUNCTION("IF(I328=""4+"",
   COUNTUNIQUE(FILTER(A:A, I:I&gt;=4)),
   COUNTUNIQUE(FILTER(A:A, I:I=I328))
)"),32)</f>
        <v>32</v>
      </c>
      <c r="L328" s="36"/>
      <c r="M328" s="36"/>
      <c r="N328" s="36"/>
    </row>
    <row r="329" spans="1:14" ht="15" x14ac:dyDescent="0.25">
      <c r="A329" s="33" t="s">
        <v>17</v>
      </c>
      <c r="B329" s="34">
        <v>45799</v>
      </c>
      <c r="C329" s="35" t="str">
        <f t="shared" si="11"/>
        <v>05-2025</v>
      </c>
      <c r="D329" s="36" t="s">
        <v>35</v>
      </c>
      <c r="E329" s="36" t="s">
        <v>36</v>
      </c>
      <c r="F329" s="37">
        <v>173.48</v>
      </c>
      <c r="G329" s="36" t="s">
        <v>33</v>
      </c>
      <c r="H329" s="37">
        <f t="shared" si="1"/>
        <v>1</v>
      </c>
      <c r="I329" s="37">
        <f t="shared" si="12"/>
        <v>2</v>
      </c>
      <c r="J329" s="37" t="str">
        <f>IF(COUNTIF($A$2:A329,A329)=1,"New","Repeat")</f>
        <v>Repeat</v>
      </c>
      <c r="K329" s="37">
        <f ca="1">IFERROR(__xludf.DUMMYFUNCTION("IF(I329=""4+"",
   COUNTUNIQUE(FILTER(A:A, I:I&gt;=4)),
   COUNTUNIQUE(FILTER(A:A, I:I=I329))
)"),37)</f>
        <v>37</v>
      </c>
      <c r="L329" s="36"/>
      <c r="M329" s="36"/>
      <c r="N329" s="36"/>
    </row>
    <row r="330" spans="1:14" ht="15" x14ac:dyDescent="0.25">
      <c r="A330" s="33" t="s">
        <v>207</v>
      </c>
      <c r="B330" s="34">
        <v>45777</v>
      </c>
      <c r="C330" s="35" t="str">
        <f t="shared" si="11"/>
        <v>04-2025</v>
      </c>
      <c r="D330" s="36" t="s">
        <v>28</v>
      </c>
      <c r="E330" s="36" t="s">
        <v>43</v>
      </c>
      <c r="F330" s="37">
        <v>356.1</v>
      </c>
      <c r="G330" s="36" t="s">
        <v>33</v>
      </c>
      <c r="H330" s="37">
        <f t="shared" si="1"/>
        <v>1</v>
      </c>
      <c r="I330" s="37">
        <f t="shared" si="12"/>
        <v>2</v>
      </c>
      <c r="J330" s="37" t="str">
        <f>IF(COUNTIF($A$2:A330,A330)=1,"New","Repeat")</f>
        <v>New</v>
      </c>
      <c r="K330" s="37">
        <f ca="1">IFERROR(__xludf.DUMMYFUNCTION("IF(I330=""4+"",
   COUNTUNIQUE(FILTER(A:A, I:I&gt;=4)),
   COUNTUNIQUE(FILTER(A:A, I:I=I330))
)"),37)</f>
        <v>37</v>
      </c>
      <c r="L330" s="36"/>
      <c r="M330" s="36"/>
      <c r="N330" s="36"/>
    </row>
    <row r="331" spans="1:14" ht="15" x14ac:dyDescent="0.25">
      <c r="A331" s="33" t="s">
        <v>129</v>
      </c>
      <c r="B331" s="34">
        <v>45818</v>
      </c>
      <c r="C331" s="35" t="str">
        <f t="shared" si="11"/>
        <v>06-2025</v>
      </c>
      <c r="D331" s="36" t="s">
        <v>14</v>
      </c>
      <c r="E331" s="36" t="s">
        <v>96</v>
      </c>
      <c r="F331" s="37">
        <v>147.78</v>
      </c>
      <c r="G331" s="36" t="s">
        <v>30</v>
      </c>
      <c r="H331" s="37">
        <f t="shared" si="1"/>
        <v>1</v>
      </c>
      <c r="I331" s="37">
        <f t="shared" si="12"/>
        <v>5</v>
      </c>
      <c r="J331" s="37" t="str">
        <f>IF(COUNTIF($A$2:A331,A331)=1,"New","Repeat")</f>
        <v>Repeat</v>
      </c>
      <c r="K331" s="37">
        <f ca="1">IFERROR(__xludf.DUMMYFUNCTION("IF(I331=""4+"",
   COUNTUNIQUE(FILTER(A:A, I:I&gt;=4)),
   COUNTUNIQUE(FILTER(A:A, I:I=I331))
)"),34)</f>
        <v>34</v>
      </c>
      <c r="L331" s="36"/>
      <c r="M331" s="36"/>
      <c r="N331" s="36"/>
    </row>
    <row r="332" spans="1:14" ht="15" x14ac:dyDescent="0.25">
      <c r="A332" s="33" t="s">
        <v>208</v>
      </c>
      <c r="B332" s="34">
        <v>45994</v>
      </c>
      <c r="C332" s="35" t="str">
        <f t="shared" si="11"/>
        <v>12-2025</v>
      </c>
      <c r="D332" s="36" t="s">
        <v>28</v>
      </c>
      <c r="E332" s="36" t="s">
        <v>29</v>
      </c>
      <c r="F332" s="37">
        <v>152.63</v>
      </c>
      <c r="G332" s="36" t="s">
        <v>22</v>
      </c>
      <c r="H332" s="37">
        <f t="shared" si="1"/>
        <v>1</v>
      </c>
      <c r="I332" s="37">
        <f t="shared" si="12"/>
        <v>3</v>
      </c>
      <c r="J332" s="37" t="str">
        <f>IF(COUNTIF($A$2:A332,A332)=1,"New","Repeat")</f>
        <v>New</v>
      </c>
      <c r="K332" s="37">
        <f ca="1">IFERROR(__xludf.DUMMYFUNCTION("IF(I332=""4+"",
   COUNTUNIQUE(FILTER(A:A, I:I&gt;=4)),
   COUNTUNIQUE(FILTER(A:A, I:I=I332))
)"),42)</f>
        <v>42</v>
      </c>
      <c r="L332" s="36"/>
      <c r="M332" s="36"/>
      <c r="N332" s="36"/>
    </row>
    <row r="333" spans="1:14" ht="15" x14ac:dyDescent="0.25">
      <c r="A333" s="33" t="s">
        <v>202</v>
      </c>
      <c r="B333" s="34">
        <v>45863</v>
      </c>
      <c r="C333" s="35" t="str">
        <f t="shared" si="11"/>
        <v>07-2025</v>
      </c>
      <c r="D333" s="36" t="s">
        <v>28</v>
      </c>
      <c r="E333" s="36" t="s">
        <v>29</v>
      </c>
      <c r="F333" s="37">
        <v>467.67</v>
      </c>
      <c r="G333" s="36" t="s">
        <v>70</v>
      </c>
      <c r="H333" s="37">
        <f t="shared" si="1"/>
        <v>1</v>
      </c>
      <c r="I333" s="37">
        <f t="shared" si="12"/>
        <v>4</v>
      </c>
      <c r="J333" s="37" t="str">
        <f>IF(COUNTIF($A$2:A333,A333)=1,"New","Repeat")</f>
        <v>Repeat</v>
      </c>
      <c r="K333" s="37">
        <f ca="1">IFERROR(__xludf.DUMMYFUNCTION("IF(I333=""4+"",
   COUNTUNIQUE(FILTER(A:A, I:I&gt;=4)),
   COUNTUNIQUE(FILTER(A:A, I:I=I333))
)"),32)</f>
        <v>32</v>
      </c>
      <c r="L333" s="36"/>
      <c r="M333" s="36"/>
      <c r="N333" s="36"/>
    </row>
    <row r="334" spans="1:14" ht="15" x14ac:dyDescent="0.25">
      <c r="A334" s="33" t="s">
        <v>189</v>
      </c>
      <c r="B334" s="34">
        <v>46067</v>
      </c>
      <c r="C334" s="35" t="str">
        <f t="shared" si="11"/>
        <v>02-2026</v>
      </c>
      <c r="D334" s="36" t="s">
        <v>14</v>
      </c>
      <c r="E334" s="36" t="s">
        <v>96</v>
      </c>
      <c r="F334" s="37">
        <v>117.74</v>
      </c>
      <c r="G334" s="36" t="s">
        <v>25</v>
      </c>
      <c r="H334" s="37">
        <f t="shared" si="1"/>
        <v>1</v>
      </c>
      <c r="I334" s="37">
        <f t="shared" si="12"/>
        <v>4</v>
      </c>
      <c r="J334" s="37" t="str">
        <f>IF(COUNTIF($A$2:A334,A334)=1,"New","Repeat")</f>
        <v>Repeat</v>
      </c>
      <c r="K334" s="37">
        <f ca="1">IFERROR(__xludf.DUMMYFUNCTION("IF(I334=""4+"",
   COUNTUNIQUE(FILTER(A:A, I:I&gt;=4)),
   COUNTUNIQUE(FILTER(A:A, I:I=I334))
)"),32)</f>
        <v>32</v>
      </c>
      <c r="L334" s="36"/>
      <c r="M334" s="36"/>
      <c r="N334" s="36"/>
    </row>
    <row r="335" spans="1:14" ht="15" x14ac:dyDescent="0.25">
      <c r="A335" s="33" t="s">
        <v>97</v>
      </c>
      <c r="B335" s="34">
        <v>45934</v>
      </c>
      <c r="C335" s="35" t="str">
        <f t="shared" si="11"/>
        <v>10-2025</v>
      </c>
      <c r="D335" s="36" t="s">
        <v>35</v>
      </c>
      <c r="E335" s="36" t="s">
        <v>36</v>
      </c>
      <c r="F335" s="37">
        <v>36.39</v>
      </c>
      <c r="G335" s="36" t="s">
        <v>22</v>
      </c>
      <c r="H335" s="37">
        <f t="shared" si="1"/>
        <v>1</v>
      </c>
      <c r="I335" s="37">
        <f t="shared" si="12"/>
        <v>5</v>
      </c>
      <c r="J335" s="37" t="str">
        <f>IF(COUNTIF($A$2:A335,A335)=1,"New","Repeat")</f>
        <v>Repeat</v>
      </c>
      <c r="K335" s="37">
        <f ca="1">IFERROR(__xludf.DUMMYFUNCTION("IF(I335=""4+"",
   COUNTUNIQUE(FILTER(A:A, I:I&gt;=4)),
   COUNTUNIQUE(FILTER(A:A, I:I=I335))
)"),34)</f>
        <v>34</v>
      </c>
      <c r="L335" s="36"/>
      <c r="M335" s="36"/>
      <c r="N335" s="36"/>
    </row>
    <row r="336" spans="1:14" ht="15" x14ac:dyDescent="0.25">
      <c r="A336" s="33" t="s">
        <v>149</v>
      </c>
      <c r="B336" s="34">
        <v>46072</v>
      </c>
      <c r="C336" s="35" t="str">
        <f t="shared" si="11"/>
        <v>02-2026</v>
      </c>
      <c r="D336" s="36" t="s">
        <v>35</v>
      </c>
      <c r="E336" s="36" t="s">
        <v>39</v>
      </c>
      <c r="F336" s="37">
        <v>378.12</v>
      </c>
      <c r="G336" s="36" t="s">
        <v>25</v>
      </c>
      <c r="H336" s="37">
        <f t="shared" si="1"/>
        <v>1</v>
      </c>
      <c r="I336" s="37">
        <f t="shared" si="12"/>
        <v>2</v>
      </c>
      <c r="J336" s="37" t="str">
        <f>IF(COUNTIF($A$2:A336,A336)=1,"New","Repeat")</f>
        <v>Repeat</v>
      </c>
      <c r="K336" s="37">
        <f ca="1">IFERROR(__xludf.DUMMYFUNCTION("IF(I336=""4+"",
   COUNTUNIQUE(FILTER(A:A, I:I&gt;=4)),
   COUNTUNIQUE(FILTER(A:A, I:I=I336))
)"),37)</f>
        <v>37</v>
      </c>
      <c r="L336" s="36"/>
      <c r="M336" s="36"/>
      <c r="N336" s="36"/>
    </row>
    <row r="337" spans="1:14" ht="15" x14ac:dyDescent="0.25">
      <c r="A337" s="33" t="s">
        <v>144</v>
      </c>
      <c r="B337" s="34">
        <v>46031</v>
      </c>
      <c r="C337" s="35" t="str">
        <f t="shared" si="11"/>
        <v>01-2026</v>
      </c>
      <c r="D337" s="36" t="s">
        <v>14</v>
      </c>
      <c r="E337" s="36" t="s">
        <v>32</v>
      </c>
      <c r="F337" s="37">
        <v>121.53</v>
      </c>
      <c r="G337" s="36" t="s">
        <v>25</v>
      </c>
      <c r="H337" s="37">
        <f t="shared" si="1"/>
        <v>1</v>
      </c>
      <c r="I337" s="37">
        <f t="shared" si="12"/>
        <v>5</v>
      </c>
      <c r="J337" s="37" t="str">
        <f>IF(COUNTIF($A$2:A337,A337)=1,"New","Repeat")</f>
        <v>Repeat</v>
      </c>
      <c r="K337" s="37">
        <f ca="1">IFERROR(__xludf.DUMMYFUNCTION("IF(I337=""4+"",
   COUNTUNIQUE(FILTER(A:A, I:I&gt;=4)),
   COUNTUNIQUE(FILTER(A:A, I:I=I337))
)"),34)</f>
        <v>34</v>
      </c>
      <c r="L337" s="36"/>
      <c r="M337" s="36"/>
      <c r="N337" s="36"/>
    </row>
    <row r="338" spans="1:14" ht="15" x14ac:dyDescent="0.25">
      <c r="A338" s="33" t="s">
        <v>157</v>
      </c>
      <c r="B338" s="34">
        <v>45859</v>
      </c>
      <c r="C338" s="35" t="str">
        <f t="shared" si="11"/>
        <v>07-2025</v>
      </c>
      <c r="D338" s="36" t="s">
        <v>18</v>
      </c>
      <c r="E338" s="36" t="s">
        <v>65</v>
      </c>
      <c r="F338" s="37">
        <v>169.7</v>
      </c>
      <c r="G338" s="36" t="s">
        <v>37</v>
      </c>
      <c r="H338" s="37">
        <f t="shared" si="1"/>
        <v>1</v>
      </c>
      <c r="I338" s="37">
        <f t="shared" si="12"/>
        <v>5</v>
      </c>
      <c r="J338" s="37" t="str">
        <f>IF(COUNTIF($A$2:A338,A338)=1,"New","Repeat")</f>
        <v>Repeat</v>
      </c>
      <c r="K338" s="37">
        <f ca="1">IFERROR(__xludf.DUMMYFUNCTION("IF(I338=""4+"",
   COUNTUNIQUE(FILTER(A:A, I:I&gt;=4)),
   COUNTUNIQUE(FILTER(A:A, I:I=I338))
)"),34)</f>
        <v>34</v>
      </c>
      <c r="L338" s="36"/>
      <c r="M338" s="36"/>
      <c r="N338" s="36"/>
    </row>
    <row r="339" spans="1:14" ht="15" x14ac:dyDescent="0.25">
      <c r="A339" s="33" t="s">
        <v>121</v>
      </c>
      <c r="B339" s="34">
        <v>45834</v>
      </c>
      <c r="C339" s="35" t="str">
        <f t="shared" si="11"/>
        <v>06-2025</v>
      </c>
      <c r="D339" s="36" t="s">
        <v>35</v>
      </c>
      <c r="E339" s="36" t="s">
        <v>93</v>
      </c>
      <c r="F339" s="37">
        <v>107.7</v>
      </c>
      <c r="G339" s="36" t="s">
        <v>16</v>
      </c>
      <c r="H339" s="37">
        <f t="shared" si="1"/>
        <v>1</v>
      </c>
      <c r="I339" s="37">
        <f t="shared" si="12"/>
        <v>5</v>
      </c>
      <c r="J339" s="37" t="str">
        <f>IF(COUNTIF($A$2:A339,A339)=1,"New","Repeat")</f>
        <v>Repeat</v>
      </c>
      <c r="K339" s="37">
        <f ca="1">IFERROR(__xludf.DUMMYFUNCTION("IF(I339=""4+"",
   COUNTUNIQUE(FILTER(A:A, I:I&gt;=4)),
   COUNTUNIQUE(FILTER(A:A, I:I=I339))
)"),34)</f>
        <v>34</v>
      </c>
      <c r="L339" s="36"/>
      <c r="M339" s="36"/>
      <c r="N339" s="36"/>
    </row>
    <row r="340" spans="1:14" ht="15" x14ac:dyDescent="0.25">
      <c r="A340" s="33" t="s">
        <v>116</v>
      </c>
      <c r="B340" s="39">
        <v>46010</v>
      </c>
      <c r="C340" s="35" t="str">
        <f t="shared" si="11"/>
        <v>12-2025</v>
      </c>
      <c r="D340" s="36" t="s">
        <v>18</v>
      </c>
      <c r="E340" s="36" t="s">
        <v>24</v>
      </c>
      <c r="F340" s="37">
        <v>38.51</v>
      </c>
      <c r="G340" s="36" t="s">
        <v>25</v>
      </c>
      <c r="H340" s="37">
        <f t="shared" si="1"/>
        <v>1</v>
      </c>
      <c r="I340" s="37">
        <f t="shared" si="12"/>
        <v>7</v>
      </c>
      <c r="J340" s="37" t="str">
        <f>IF(COUNTIF($A$2:A340,A340)=1,"New","Repeat")</f>
        <v>Repeat</v>
      </c>
      <c r="K340" s="37">
        <f ca="1">IFERROR(__xludf.DUMMYFUNCTION("IF(I340=""4+"",
   COUNTUNIQUE(FILTER(A:A, I:I&gt;=4)),
   COUNTUNIQUE(FILTER(A:A, I:I=I340))
)"),4)</f>
        <v>4</v>
      </c>
      <c r="L340" s="36"/>
      <c r="M340" s="36"/>
      <c r="N340" s="36"/>
    </row>
    <row r="341" spans="1:14" ht="15" x14ac:dyDescent="0.25">
      <c r="A341" s="33" t="s">
        <v>183</v>
      </c>
      <c r="B341" s="34">
        <v>45806</v>
      </c>
      <c r="C341" s="35" t="str">
        <f t="shared" si="11"/>
        <v>05-2025</v>
      </c>
      <c r="D341" s="36" t="s">
        <v>18</v>
      </c>
      <c r="E341" s="36" t="s">
        <v>47</v>
      </c>
      <c r="F341" s="37">
        <v>77.81</v>
      </c>
      <c r="G341" s="36" t="s">
        <v>25</v>
      </c>
      <c r="H341" s="37">
        <f t="shared" si="1"/>
        <v>1</v>
      </c>
      <c r="I341" s="37">
        <f t="shared" si="12"/>
        <v>3</v>
      </c>
      <c r="J341" s="37" t="str">
        <f>IF(COUNTIF($A$2:A341,A341)=1,"New","Repeat")</f>
        <v>Repeat</v>
      </c>
      <c r="K341" s="37">
        <f ca="1">IFERROR(__xludf.DUMMYFUNCTION("IF(I341=""4+"",
   COUNTUNIQUE(FILTER(A:A, I:I&gt;=4)),
   COUNTUNIQUE(FILTER(A:A, I:I=I341))
)"),42)</f>
        <v>42</v>
      </c>
      <c r="L341" s="36"/>
      <c r="M341" s="36"/>
      <c r="N341" s="36"/>
    </row>
    <row r="342" spans="1:14" ht="15" x14ac:dyDescent="0.25">
      <c r="A342" s="33" t="s">
        <v>120</v>
      </c>
      <c r="B342" s="34">
        <v>45872</v>
      </c>
      <c r="C342" s="35" t="str">
        <f t="shared" si="11"/>
        <v>08-2025</v>
      </c>
      <c r="D342" s="36" t="s">
        <v>18</v>
      </c>
      <c r="E342" s="36" t="s">
        <v>24</v>
      </c>
      <c r="F342" s="37">
        <v>26.27</v>
      </c>
      <c r="G342" s="36" t="s">
        <v>25</v>
      </c>
      <c r="H342" s="37">
        <f t="shared" si="1"/>
        <v>1</v>
      </c>
      <c r="I342" s="37">
        <f t="shared" si="12"/>
        <v>5</v>
      </c>
      <c r="J342" s="37" t="str">
        <f>IF(COUNTIF($A$2:A342,A342)=1,"New","Repeat")</f>
        <v>Repeat</v>
      </c>
      <c r="K342" s="37">
        <f ca="1">IFERROR(__xludf.DUMMYFUNCTION("IF(I342=""4+"",
   COUNTUNIQUE(FILTER(A:A, I:I&gt;=4)),
   COUNTUNIQUE(FILTER(A:A, I:I=I342))
)"),34)</f>
        <v>34</v>
      </c>
      <c r="L342" s="36"/>
      <c r="M342" s="36"/>
      <c r="N342" s="36"/>
    </row>
    <row r="343" spans="1:14" ht="15" x14ac:dyDescent="0.25">
      <c r="A343" s="33" t="s">
        <v>71</v>
      </c>
      <c r="B343" s="34">
        <v>45933</v>
      </c>
      <c r="C343" s="35" t="str">
        <f t="shared" si="11"/>
        <v>10-2025</v>
      </c>
      <c r="D343" s="36" t="s">
        <v>18</v>
      </c>
      <c r="E343" s="36" t="s">
        <v>21</v>
      </c>
      <c r="F343" s="37">
        <v>412.06</v>
      </c>
      <c r="G343" s="36" t="s">
        <v>22</v>
      </c>
      <c r="H343" s="37">
        <f t="shared" si="1"/>
        <v>1</v>
      </c>
      <c r="I343" s="37">
        <f t="shared" si="12"/>
        <v>7</v>
      </c>
      <c r="J343" s="37" t="str">
        <f>IF(COUNTIF($A$2:A343,A343)=1,"New","Repeat")</f>
        <v>Repeat</v>
      </c>
      <c r="K343" s="37">
        <f ca="1">IFERROR(__xludf.DUMMYFUNCTION("IF(I343=""4+"",
   COUNTUNIQUE(FILTER(A:A, I:I&gt;=4)),
   COUNTUNIQUE(FILTER(A:A, I:I=I343))
)"),4)</f>
        <v>4</v>
      </c>
      <c r="L343" s="36"/>
      <c r="M343" s="36"/>
      <c r="N343" s="36"/>
    </row>
    <row r="344" spans="1:14" ht="15" x14ac:dyDescent="0.25">
      <c r="A344" s="33" t="s">
        <v>209</v>
      </c>
      <c r="B344" s="34">
        <v>45773</v>
      </c>
      <c r="C344" s="35" t="str">
        <f t="shared" si="11"/>
        <v>04-2025</v>
      </c>
      <c r="D344" s="36" t="s">
        <v>35</v>
      </c>
      <c r="E344" s="36" t="s">
        <v>36</v>
      </c>
      <c r="F344" s="37">
        <v>81.510000000000005</v>
      </c>
      <c r="G344" s="36" t="s">
        <v>70</v>
      </c>
      <c r="H344" s="37">
        <f t="shared" si="1"/>
        <v>1</v>
      </c>
      <c r="I344" s="37">
        <f t="shared" si="12"/>
        <v>2</v>
      </c>
      <c r="J344" s="37" t="str">
        <f>IF(COUNTIF($A$2:A344,A344)=1,"New","Repeat")</f>
        <v>New</v>
      </c>
      <c r="K344" s="37">
        <f ca="1">IFERROR(__xludf.DUMMYFUNCTION("IF(I344=""4+"",
   COUNTUNIQUE(FILTER(A:A, I:I&gt;=4)),
   COUNTUNIQUE(FILTER(A:A, I:I=I344))
)"),37)</f>
        <v>37</v>
      </c>
      <c r="L344" s="36"/>
      <c r="M344" s="36"/>
      <c r="N344" s="36"/>
    </row>
    <row r="345" spans="1:14" ht="15" x14ac:dyDescent="0.25">
      <c r="A345" s="33" t="s">
        <v>210</v>
      </c>
      <c r="B345" s="34">
        <v>45783</v>
      </c>
      <c r="C345" s="35" t="str">
        <f t="shared" si="11"/>
        <v>05-2025</v>
      </c>
      <c r="D345" s="36" t="s">
        <v>14</v>
      </c>
      <c r="E345" s="36" t="s">
        <v>59</v>
      </c>
      <c r="F345" s="37">
        <v>464.4</v>
      </c>
      <c r="G345" s="36" t="s">
        <v>70</v>
      </c>
      <c r="H345" s="37">
        <f t="shared" si="1"/>
        <v>1</v>
      </c>
      <c r="I345" s="37">
        <f t="shared" si="12"/>
        <v>2</v>
      </c>
      <c r="J345" s="37" t="str">
        <f>IF(COUNTIF($A$2:A345,A345)=1,"New","Repeat")</f>
        <v>New</v>
      </c>
      <c r="K345" s="37">
        <f ca="1">IFERROR(__xludf.DUMMYFUNCTION("IF(I345=""4+"",
   COUNTUNIQUE(FILTER(A:A, I:I&gt;=4)),
   COUNTUNIQUE(FILTER(A:A, I:I=I345))
)"),37)</f>
        <v>37</v>
      </c>
      <c r="L345" s="36"/>
      <c r="M345" s="36"/>
      <c r="N345" s="36"/>
    </row>
    <row r="346" spans="1:14" ht="15" x14ac:dyDescent="0.25">
      <c r="A346" s="33" t="s">
        <v>159</v>
      </c>
      <c r="B346" s="34">
        <v>45994</v>
      </c>
      <c r="C346" s="35" t="str">
        <f t="shared" si="11"/>
        <v>12-2025</v>
      </c>
      <c r="D346" s="36" t="s">
        <v>51</v>
      </c>
      <c r="E346" s="36" t="s">
        <v>101</v>
      </c>
      <c r="F346" s="37">
        <v>241.59</v>
      </c>
      <c r="G346" s="36" t="s">
        <v>22</v>
      </c>
      <c r="H346" s="37">
        <f t="shared" si="1"/>
        <v>1</v>
      </c>
      <c r="I346" s="37">
        <f t="shared" si="12"/>
        <v>4</v>
      </c>
      <c r="J346" s="37" t="str">
        <f>IF(COUNTIF($A$2:A346,A346)=1,"New","Repeat")</f>
        <v>Repeat</v>
      </c>
      <c r="K346" s="37">
        <f ca="1">IFERROR(__xludf.DUMMYFUNCTION("IF(I346=""4+"",
   COUNTUNIQUE(FILTER(A:A, I:I&gt;=4)),
   COUNTUNIQUE(FILTER(A:A, I:I=I346))
)"),32)</f>
        <v>32</v>
      </c>
      <c r="L346" s="36"/>
      <c r="M346" s="36"/>
      <c r="N346" s="36"/>
    </row>
    <row r="347" spans="1:14" ht="15" x14ac:dyDescent="0.25">
      <c r="A347" s="33" t="s">
        <v>211</v>
      </c>
      <c r="B347" s="39">
        <v>46022</v>
      </c>
      <c r="C347" s="35" t="str">
        <f t="shared" si="11"/>
        <v>12-2025</v>
      </c>
      <c r="D347" s="36" t="s">
        <v>28</v>
      </c>
      <c r="E347" s="36" t="s">
        <v>43</v>
      </c>
      <c r="F347" s="37">
        <v>100.51</v>
      </c>
      <c r="G347" s="36" t="s">
        <v>70</v>
      </c>
      <c r="H347" s="37">
        <f t="shared" si="1"/>
        <v>0</v>
      </c>
      <c r="I347" s="37">
        <f t="shared" si="12"/>
        <v>1</v>
      </c>
      <c r="J347" s="37" t="str">
        <f>IF(COUNTIF($A$2:A347,A347)=1,"New","Repeat")</f>
        <v>New</v>
      </c>
      <c r="K347" s="37">
        <f ca="1">IFERROR(__xludf.DUMMYFUNCTION("IF(I347=""4+"",
   COUNTUNIQUE(FILTER(A:A, I:I&gt;=4)),
   COUNTUNIQUE(FILTER(A:A, I:I=I347))
)"),24)</f>
        <v>24</v>
      </c>
      <c r="L347" s="36"/>
      <c r="M347" s="36"/>
      <c r="N347" s="36"/>
    </row>
    <row r="348" spans="1:14" ht="15" x14ac:dyDescent="0.25">
      <c r="A348" s="33" t="s">
        <v>175</v>
      </c>
      <c r="B348" s="34">
        <v>45765</v>
      </c>
      <c r="C348" s="35" t="str">
        <f t="shared" si="11"/>
        <v>04-2025</v>
      </c>
      <c r="D348" s="36" t="s">
        <v>14</v>
      </c>
      <c r="E348" s="36" t="s">
        <v>15</v>
      </c>
      <c r="F348" s="37">
        <v>377</v>
      </c>
      <c r="G348" s="36" t="s">
        <v>22</v>
      </c>
      <c r="H348" s="37">
        <f t="shared" si="1"/>
        <v>1</v>
      </c>
      <c r="I348" s="37">
        <f t="shared" si="12"/>
        <v>4</v>
      </c>
      <c r="J348" s="37" t="str">
        <f>IF(COUNTIF($A$2:A348,A348)=1,"New","Repeat")</f>
        <v>Repeat</v>
      </c>
      <c r="K348" s="37">
        <f ca="1">IFERROR(__xludf.DUMMYFUNCTION("IF(I348=""4+"",
   COUNTUNIQUE(FILTER(A:A, I:I&gt;=4)),
   COUNTUNIQUE(FILTER(A:A, I:I=I348))
)"),32)</f>
        <v>32</v>
      </c>
      <c r="L348" s="36"/>
      <c r="M348" s="36"/>
      <c r="N348" s="36"/>
    </row>
    <row r="349" spans="1:14" ht="15" x14ac:dyDescent="0.25">
      <c r="A349" s="33" t="s">
        <v>178</v>
      </c>
      <c r="B349" s="34">
        <v>45786</v>
      </c>
      <c r="C349" s="35" t="str">
        <f t="shared" si="11"/>
        <v>05-2025</v>
      </c>
      <c r="D349" s="36" t="s">
        <v>35</v>
      </c>
      <c r="E349" s="36" t="s">
        <v>36</v>
      </c>
      <c r="F349" s="37">
        <v>405.64</v>
      </c>
      <c r="G349" s="36" t="s">
        <v>70</v>
      </c>
      <c r="H349" s="37">
        <f t="shared" si="1"/>
        <v>1</v>
      </c>
      <c r="I349" s="37">
        <f t="shared" si="12"/>
        <v>3</v>
      </c>
      <c r="J349" s="37" t="str">
        <f>IF(COUNTIF($A$2:A349,A349)=1,"New","Repeat")</f>
        <v>Repeat</v>
      </c>
      <c r="K349" s="37">
        <f ca="1">IFERROR(__xludf.DUMMYFUNCTION("IF(I349=""4+"",
   COUNTUNIQUE(FILTER(A:A, I:I&gt;=4)),
   COUNTUNIQUE(FILTER(A:A, I:I=I349))
)"),42)</f>
        <v>42</v>
      </c>
      <c r="L349" s="36"/>
      <c r="M349" s="36"/>
      <c r="N349" s="36"/>
    </row>
    <row r="350" spans="1:14" ht="15" x14ac:dyDescent="0.25">
      <c r="A350" s="33" t="s">
        <v>144</v>
      </c>
      <c r="B350" s="34">
        <v>45712</v>
      </c>
      <c r="C350" s="35" t="str">
        <f t="shared" si="11"/>
        <v>02-2025</v>
      </c>
      <c r="D350" s="36" t="s">
        <v>18</v>
      </c>
      <c r="E350" s="36" t="s">
        <v>19</v>
      </c>
      <c r="F350" s="37">
        <v>221.59</v>
      </c>
      <c r="G350" s="36" t="s">
        <v>33</v>
      </c>
      <c r="H350" s="37">
        <f t="shared" si="1"/>
        <v>1</v>
      </c>
      <c r="I350" s="37">
        <f t="shared" si="12"/>
        <v>5</v>
      </c>
      <c r="J350" s="37" t="str">
        <f>IF(COUNTIF($A$2:A350,A350)=1,"New","Repeat")</f>
        <v>Repeat</v>
      </c>
      <c r="K350" s="37">
        <f ca="1">IFERROR(__xludf.DUMMYFUNCTION("IF(I350=""4+"",
   COUNTUNIQUE(FILTER(A:A, I:I&gt;=4)),
   COUNTUNIQUE(FILTER(A:A, I:I=I350))
)"),34)</f>
        <v>34</v>
      </c>
      <c r="L350" s="36"/>
      <c r="M350" s="36"/>
      <c r="N350" s="36"/>
    </row>
    <row r="351" spans="1:14" ht="15" x14ac:dyDescent="0.25">
      <c r="A351" s="33" t="s">
        <v>117</v>
      </c>
      <c r="B351" s="34">
        <v>45994</v>
      </c>
      <c r="C351" s="35" t="str">
        <f t="shared" si="11"/>
        <v>12-2025</v>
      </c>
      <c r="D351" s="36" t="s">
        <v>51</v>
      </c>
      <c r="E351" s="36" t="s">
        <v>101</v>
      </c>
      <c r="F351" s="37">
        <v>308.06</v>
      </c>
      <c r="G351" s="36" t="s">
        <v>25</v>
      </c>
      <c r="H351" s="37">
        <f t="shared" si="1"/>
        <v>1</v>
      </c>
      <c r="I351" s="37">
        <f t="shared" si="12"/>
        <v>3</v>
      </c>
      <c r="J351" s="37" t="str">
        <f>IF(COUNTIF($A$2:A351,A351)=1,"New","Repeat")</f>
        <v>Repeat</v>
      </c>
      <c r="K351" s="37">
        <f ca="1">IFERROR(__xludf.DUMMYFUNCTION("IF(I351=""4+"",
   COUNTUNIQUE(FILTER(A:A, I:I&gt;=4)),
   COUNTUNIQUE(FILTER(A:A, I:I=I351))
)"),42)</f>
        <v>42</v>
      </c>
      <c r="L351" s="36"/>
      <c r="M351" s="36"/>
      <c r="N351" s="36"/>
    </row>
    <row r="352" spans="1:14" ht="15" x14ac:dyDescent="0.25">
      <c r="A352" s="33" t="s">
        <v>188</v>
      </c>
      <c r="B352" s="34">
        <v>45837</v>
      </c>
      <c r="C352" s="35" t="str">
        <f t="shared" si="11"/>
        <v>06-2025</v>
      </c>
      <c r="D352" s="36" t="s">
        <v>18</v>
      </c>
      <c r="E352" s="36" t="s">
        <v>21</v>
      </c>
      <c r="F352" s="37">
        <v>288.60000000000002</v>
      </c>
      <c r="G352" s="36" t="s">
        <v>33</v>
      </c>
      <c r="H352" s="37">
        <f t="shared" si="1"/>
        <v>1</v>
      </c>
      <c r="I352" s="37">
        <f t="shared" si="12"/>
        <v>5</v>
      </c>
      <c r="J352" s="37" t="str">
        <f>IF(COUNTIF($A$2:A352,A352)=1,"New","Repeat")</f>
        <v>Repeat</v>
      </c>
      <c r="K352" s="37">
        <f ca="1">IFERROR(__xludf.DUMMYFUNCTION("IF(I352=""4+"",
   COUNTUNIQUE(FILTER(A:A, I:I&gt;=4)),
   COUNTUNIQUE(FILTER(A:A, I:I=I352))
)"),34)</f>
        <v>34</v>
      </c>
      <c r="L352" s="36"/>
      <c r="M352" s="36"/>
      <c r="N352" s="36"/>
    </row>
    <row r="353" spans="1:14" ht="15" x14ac:dyDescent="0.25">
      <c r="A353" s="33" t="s">
        <v>148</v>
      </c>
      <c r="B353" s="34">
        <v>45898</v>
      </c>
      <c r="C353" s="35" t="str">
        <f t="shared" si="11"/>
        <v>08-2025</v>
      </c>
      <c r="D353" s="36" t="s">
        <v>35</v>
      </c>
      <c r="E353" s="36" t="s">
        <v>54</v>
      </c>
      <c r="F353" s="37">
        <v>86.46</v>
      </c>
      <c r="G353" s="36" t="s">
        <v>25</v>
      </c>
      <c r="H353" s="37">
        <f t="shared" si="1"/>
        <v>1</v>
      </c>
      <c r="I353" s="37">
        <f t="shared" si="12"/>
        <v>6</v>
      </c>
      <c r="J353" s="37" t="str">
        <f>IF(COUNTIF($A$2:A353,A353)=1,"New","Repeat")</f>
        <v>Repeat</v>
      </c>
      <c r="K353" s="37">
        <f ca="1">IFERROR(__xludf.DUMMYFUNCTION("IF(I353=""4+"",
   COUNTUNIQUE(FILTER(A:A, I:I&gt;=4)),
   COUNTUNIQUE(FILTER(A:A, I:I=I353))
)"),19)</f>
        <v>19</v>
      </c>
      <c r="L353" s="36"/>
      <c r="M353" s="36"/>
      <c r="N353" s="36"/>
    </row>
    <row r="354" spans="1:14" ht="15" x14ac:dyDescent="0.25">
      <c r="A354" s="33" t="s">
        <v>88</v>
      </c>
      <c r="B354" s="34">
        <v>45802</v>
      </c>
      <c r="C354" s="35" t="str">
        <f t="shared" si="11"/>
        <v>05-2025</v>
      </c>
      <c r="D354" s="36" t="s">
        <v>28</v>
      </c>
      <c r="E354" s="36" t="s">
        <v>29</v>
      </c>
      <c r="F354" s="37">
        <v>383.33</v>
      </c>
      <c r="G354" s="36" t="s">
        <v>25</v>
      </c>
      <c r="H354" s="37">
        <f t="shared" si="1"/>
        <v>1</v>
      </c>
      <c r="I354" s="37">
        <f t="shared" si="12"/>
        <v>5</v>
      </c>
      <c r="J354" s="37" t="str">
        <f>IF(COUNTIF($A$2:A354,A354)=1,"New","Repeat")</f>
        <v>Repeat</v>
      </c>
      <c r="K354" s="37">
        <f ca="1">IFERROR(__xludf.DUMMYFUNCTION("IF(I354=""4+"",
   COUNTUNIQUE(FILTER(A:A, I:I&gt;=4)),
   COUNTUNIQUE(FILTER(A:A, I:I=I354))
)"),34)</f>
        <v>34</v>
      </c>
      <c r="L354" s="36"/>
      <c r="M354" s="36"/>
      <c r="N354" s="36"/>
    </row>
    <row r="355" spans="1:14" ht="15" x14ac:dyDescent="0.25">
      <c r="A355" s="33" t="s">
        <v>82</v>
      </c>
      <c r="B355" s="34">
        <v>46072</v>
      </c>
      <c r="C355" s="35" t="str">
        <f t="shared" si="11"/>
        <v>02-2026</v>
      </c>
      <c r="D355" s="36" t="s">
        <v>35</v>
      </c>
      <c r="E355" s="36" t="s">
        <v>54</v>
      </c>
      <c r="F355" s="37">
        <v>265.94</v>
      </c>
      <c r="G355" s="36" t="s">
        <v>37</v>
      </c>
      <c r="H355" s="37">
        <f t="shared" si="1"/>
        <v>1</v>
      </c>
      <c r="I355" s="37">
        <f t="shared" si="12"/>
        <v>5</v>
      </c>
      <c r="J355" s="37" t="str">
        <f>IF(COUNTIF($A$2:A355,A355)=1,"New","Repeat")</f>
        <v>Repeat</v>
      </c>
      <c r="K355" s="37">
        <f ca="1">IFERROR(__xludf.DUMMYFUNCTION("IF(I355=""4+"",
   COUNTUNIQUE(FILTER(A:A, I:I&gt;=4)),
   COUNTUNIQUE(FILTER(A:A, I:I=I355))
)"),34)</f>
        <v>34</v>
      </c>
      <c r="L355" s="36"/>
      <c r="M355" s="36"/>
      <c r="N355" s="36"/>
    </row>
    <row r="356" spans="1:14" ht="15" x14ac:dyDescent="0.25">
      <c r="A356" s="33" t="s">
        <v>172</v>
      </c>
      <c r="B356" s="34">
        <v>45733</v>
      </c>
      <c r="C356" s="35" t="str">
        <f t="shared" si="11"/>
        <v>03-2025</v>
      </c>
      <c r="D356" s="36" t="s">
        <v>18</v>
      </c>
      <c r="E356" s="36" t="s">
        <v>65</v>
      </c>
      <c r="F356" s="37">
        <v>439.26</v>
      </c>
      <c r="G356" s="36" t="s">
        <v>70</v>
      </c>
      <c r="H356" s="37">
        <f t="shared" si="1"/>
        <v>1</v>
      </c>
      <c r="I356" s="37">
        <f t="shared" si="12"/>
        <v>3</v>
      </c>
      <c r="J356" s="37" t="str">
        <f>IF(COUNTIF($A$2:A356,A356)=1,"New","Repeat")</f>
        <v>Repeat</v>
      </c>
      <c r="K356" s="37">
        <f ca="1">IFERROR(__xludf.DUMMYFUNCTION("IF(I356=""4+"",
   COUNTUNIQUE(FILTER(A:A, I:I&gt;=4)),
   COUNTUNIQUE(FILTER(A:A, I:I=I356))
)"),42)</f>
        <v>42</v>
      </c>
      <c r="L356" s="36"/>
      <c r="M356" s="36"/>
      <c r="N356" s="36"/>
    </row>
    <row r="357" spans="1:14" ht="15" x14ac:dyDescent="0.25">
      <c r="A357" s="33" t="s">
        <v>195</v>
      </c>
      <c r="B357" s="39">
        <v>45943</v>
      </c>
      <c r="C357" s="35" t="str">
        <f t="shared" si="11"/>
        <v>10-2025</v>
      </c>
      <c r="D357" s="36" t="s">
        <v>14</v>
      </c>
      <c r="E357" s="36" t="s">
        <v>15</v>
      </c>
      <c r="F357" s="37">
        <v>93.78</v>
      </c>
      <c r="G357" s="36" t="s">
        <v>30</v>
      </c>
      <c r="H357" s="37">
        <f t="shared" si="1"/>
        <v>1</v>
      </c>
      <c r="I357" s="37">
        <f t="shared" si="12"/>
        <v>6</v>
      </c>
      <c r="J357" s="37" t="str">
        <f>IF(COUNTIF($A$2:A357,A357)=1,"New","Repeat")</f>
        <v>Repeat</v>
      </c>
      <c r="K357" s="37">
        <f ca="1">IFERROR(__xludf.DUMMYFUNCTION("IF(I357=""4+"",
   COUNTUNIQUE(FILTER(A:A, I:I&gt;=4)),
   COUNTUNIQUE(FILTER(A:A, I:I=I357))
)"),19)</f>
        <v>19</v>
      </c>
      <c r="L357" s="36"/>
      <c r="M357" s="36"/>
      <c r="N357" s="36"/>
    </row>
    <row r="358" spans="1:14" ht="15" x14ac:dyDescent="0.25">
      <c r="A358" s="33" t="s">
        <v>120</v>
      </c>
      <c r="B358" s="34">
        <v>45829</v>
      </c>
      <c r="C358" s="35" t="str">
        <f t="shared" si="11"/>
        <v>06-2025</v>
      </c>
      <c r="D358" s="36" t="s">
        <v>14</v>
      </c>
      <c r="E358" s="36" t="s">
        <v>41</v>
      </c>
      <c r="F358" s="37">
        <v>300.29000000000002</v>
      </c>
      <c r="G358" s="36" t="s">
        <v>30</v>
      </c>
      <c r="H358" s="37">
        <f t="shared" si="1"/>
        <v>1</v>
      </c>
      <c r="I358" s="37">
        <f t="shared" si="12"/>
        <v>5</v>
      </c>
      <c r="J358" s="37" t="str">
        <f>IF(COUNTIF($A$2:A358,A358)=1,"New","Repeat")</f>
        <v>Repeat</v>
      </c>
      <c r="K358" s="37">
        <f ca="1">IFERROR(__xludf.DUMMYFUNCTION("IF(I358=""4+"",
   COUNTUNIQUE(FILTER(A:A, I:I&gt;=4)),
   COUNTUNIQUE(FILTER(A:A, I:I=I358))
)"),34)</f>
        <v>34</v>
      </c>
      <c r="L358" s="36"/>
      <c r="M358" s="36"/>
      <c r="N358" s="36"/>
    </row>
    <row r="359" spans="1:14" ht="15" x14ac:dyDescent="0.25">
      <c r="A359" s="33" t="s">
        <v>212</v>
      </c>
      <c r="B359" s="34">
        <v>46053</v>
      </c>
      <c r="C359" s="35" t="str">
        <f t="shared" si="11"/>
        <v>01-2026</v>
      </c>
      <c r="D359" s="36" t="s">
        <v>51</v>
      </c>
      <c r="E359" s="36" t="s">
        <v>72</v>
      </c>
      <c r="F359" s="37">
        <v>390.22</v>
      </c>
      <c r="G359" s="36" t="s">
        <v>30</v>
      </c>
      <c r="H359" s="37">
        <f t="shared" si="1"/>
        <v>1</v>
      </c>
      <c r="I359" s="37">
        <f t="shared" si="12"/>
        <v>3</v>
      </c>
      <c r="J359" s="37" t="str">
        <f>IF(COUNTIF($A$2:A359,A359)=1,"New","Repeat")</f>
        <v>New</v>
      </c>
      <c r="K359" s="37">
        <f ca="1">IFERROR(__xludf.DUMMYFUNCTION("IF(I359=""4+"",
   COUNTUNIQUE(FILTER(A:A, I:I&gt;=4)),
   COUNTUNIQUE(FILTER(A:A, I:I=I359))
)"),42)</f>
        <v>42</v>
      </c>
      <c r="L359" s="36"/>
      <c r="M359" s="36"/>
      <c r="N359" s="36"/>
    </row>
    <row r="360" spans="1:14" ht="15" x14ac:dyDescent="0.25">
      <c r="A360" s="33" t="s">
        <v>123</v>
      </c>
      <c r="B360" s="39">
        <v>45973</v>
      </c>
      <c r="C360" s="35" t="str">
        <f t="shared" si="11"/>
        <v>11-2025</v>
      </c>
      <c r="D360" s="36" t="s">
        <v>35</v>
      </c>
      <c r="E360" s="36" t="s">
        <v>36</v>
      </c>
      <c r="F360" s="37">
        <v>245.35</v>
      </c>
      <c r="G360" s="36" t="s">
        <v>25</v>
      </c>
      <c r="H360" s="37">
        <f t="shared" si="1"/>
        <v>1</v>
      </c>
      <c r="I360" s="37">
        <f t="shared" si="12"/>
        <v>4</v>
      </c>
      <c r="J360" s="37" t="str">
        <f>IF(COUNTIF($A$2:A360,A360)=1,"New","Repeat")</f>
        <v>Repeat</v>
      </c>
      <c r="K360" s="37">
        <f ca="1">IFERROR(__xludf.DUMMYFUNCTION("IF(I360=""4+"",
   COUNTUNIQUE(FILTER(A:A, I:I&gt;=4)),
   COUNTUNIQUE(FILTER(A:A, I:I=I360))
)"),32)</f>
        <v>32</v>
      </c>
      <c r="L360" s="36"/>
      <c r="M360" s="36"/>
      <c r="N360" s="36"/>
    </row>
    <row r="361" spans="1:14" ht="15" x14ac:dyDescent="0.25">
      <c r="A361" s="33" t="s">
        <v>213</v>
      </c>
      <c r="B361" s="34">
        <v>45742</v>
      </c>
      <c r="C361" s="35" t="str">
        <f t="shared" si="11"/>
        <v>03-2025</v>
      </c>
      <c r="D361" s="36" t="s">
        <v>51</v>
      </c>
      <c r="E361" s="36" t="s">
        <v>68</v>
      </c>
      <c r="F361" s="37">
        <v>409.92</v>
      </c>
      <c r="G361" s="36" t="s">
        <v>25</v>
      </c>
      <c r="H361" s="37">
        <f t="shared" si="1"/>
        <v>1</v>
      </c>
      <c r="I361" s="37">
        <f t="shared" si="12"/>
        <v>3</v>
      </c>
      <c r="J361" s="37" t="str">
        <f>IF(COUNTIF($A$2:A361,A361)=1,"New","Repeat")</f>
        <v>New</v>
      </c>
      <c r="K361" s="37">
        <f ca="1">IFERROR(__xludf.DUMMYFUNCTION("IF(I361=""4+"",
   COUNTUNIQUE(FILTER(A:A, I:I&gt;=4)),
   COUNTUNIQUE(FILTER(A:A, I:I=I361))
)"),42)</f>
        <v>42</v>
      </c>
      <c r="L361" s="36"/>
      <c r="M361" s="36"/>
      <c r="N361" s="36"/>
    </row>
    <row r="362" spans="1:14" ht="15" x14ac:dyDescent="0.25">
      <c r="A362" s="33" t="s">
        <v>204</v>
      </c>
      <c r="B362" s="34">
        <v>45835</v>
      </c>
      <c r="C362" s="35" t="str">
        <f t="shared" si="11"/>
        <v>06-2025</v>
      </c>
      <c r="D362" s="36" t="s">
        <v>28</v>
      </c>
      <c r="E362" s="36" t="s">
        <v>45</v>
      </c>
      <c r="F362" s="37">
        <v>422.41</v>
      </c>
      <c r="G362" s="36" t="s">
        <v>37</v>
      </c>
      <c r="H362" s="37">
        <f t="shared" si="1"/>
        <v>1</v>
      </c>
      <c r="I362" s="37">
        <f t="shared" si="12"/>
        <v>2</v>
      </c>
      <c r="J362" s="37" t="str">
        <f>IF(COUNTIF($A$2:A362,A362)=1,"New","Repeat")</f>
        <v>Repeat</v>
      </c>
      <c r="K362" s="37">
        <f ca="1">IFERROR(__xludf.DUMMYFUNCTION("IF(I362=""4+"",
   COUNTUNIQUE(FILTER(A:A, I:I&gt;=4)),
   COUNTUNIQUE(FILTER(A:A, I:I=I362))
)"),37)</f>
        <v>37</v>
      </c>
      <c r="L362" s="36"/>
      <c r="M362" s="36"/>
      <c r="N362" s="36"/>
    </row>
    <row r="363" spans="1:14" ht="15" x14ac:dyDescent="0.25">
      <c r="A363" s="33" t="s">
        <v>31</v>
      </c>
      <c r="B363" s="34">
        <v>46065</v>
      </c>
      <c r="C363" s="35" t="str">
        <f t="shared" si="11"/>
        <v>02-2026</v>
      </c>
      <c r="D363" s="36" t="s">
        <v>14</v>
      </c>
      <c r="E363" s="36" t="s">
        <v>59</v>
      </c>
      <c r="F363" s="37">
        <v>72.12</v>
      </c>
      <c r="G363" s="36" t="s">
        <v>30</v>
      </c>
      <c r="H363" s="37">
        <f t="shared" si="1"/>
        <v>1</v>
      </c>
      <c r="I363" s="37">
        <f t="shared" si="12"/>
        <v>5</v>
      </c>
      <c r="J363" s="37" t="str">
        <f>IF(COUNTIF($A$2:A363,A363)=1,"New","Repeat")</f>
        <v>Repeat</v>
      </c>
      <c r="K363" s="37">
        <f ca="1">IFERROR(__xludf.DUMMYFUNCTION("IF(I363=""4+"",
   COUNTUNIQUE(FILTER(A:A, I:I&gt;=4)),
   COUNTUNIQUE(FILTER(A:A, I:I=I363))
)"),34)</f>
        <v>34</v>
      </c>
      <c r="L363" s="36"/>
      <c r="M363" s="36"/>
      <c r="N363" s="36"/>
    </row>
    <row r="364" spans="1:14" ht="15" x14ac:dyDescent="0.25">
      <c r="A364" s="33" t="s">
        <v>191</v>
      </c>
      <c r="B364" s="34">
        <v>45889</v>
      </c>
      <c r="C364" s="35" t="str">
        <f t="shared" si="11"/>
        <v>08-2025</v>
      </c>
      <c r="D364" s="36" t="s">
        <v>51</v>
      </c>
      <c r="E364" s="36" t="s">
        <v>52</v>
      </c>
      <c r="F364" s="37">
        <v>68.41</v>
      </c>
      <c r="G364" s="36" t="s">
        <v>30</v>
      </c>
      <c r="H364" s="37">
        <f t="shared" si="1"/>
        <v>1</v>
      </c>
      <c r="I364" s="37">
        <f t="shared" si="12"/>
        <v>3</v>
      </c>
      <c r="J364" s="37" t="str">
        <f>IF(COUNTIF($A$2:A364,A364)=1,"New","Repeat")</f>
        <v>Repeat</v>
      </c>
      <c r="K364" s="37">
        <f ca="1">IFERROR(__xludf.DUMMYFUNCTION("IF(I364=""4+"",
   COUNTUNIQUE(FILTER(A:A, I:I&gt;=4)),
   COUNTUNIQUE(FILTER(A:A, I:I=I364))
)"),42)</f>
        <v>42</v>
      </c>
      <c r="L364" s="36"/>
      <c r="M364" s="36"/>
      <c r="N364" s="36"/>
    </row>
    <row r="365" spans="1:14" ht="15" x14ac:dyDescent="0.25">
      <c r="A365" s="33" t="s">
        <v>128</v>
      </c>
      <c r="B365" s="34">
        <v>45934</v>
      </c>
      <c r="C365" s="35" t="str">
        <f t="shared" si="11"/>
        <v>10-2025</v>
      </c>
      <c r="D365" s="36" t="s">
        <v>18</v>
      </c>
      <c r="E365" s="36" t="s">
        <v>47</v>
      </c>
      <c r="F365" s="37">
        <v>334.19</v>
      </c>
      <c r="G365" s="36" t="s">
        <v>70</v>
      </c>
      <c r="H365" s="37">
        <f t="shared" si="1"/>
        <v>1</v>
      </c>
      <c r="I365" s="37">
        <f t="shared" si="12"/>
        <v>6</v>
      </c>
      <c r="J365" s="37" t="str">
        <f>IF(COUNTIF($A$2:A365,A365)=1,"New","Repeat")</f>
        <v>Repeat</v>
      </c>
      <c r="K365" s="37">
        <f ca="1">IFERROR(__xludf.DUMMYFUNCTION("IF(I365=""4+"",
   COUNTUNIQUE(FILTER(A:A, I:I&gt;=4)),
   COUNTUNIQUE(FILTER(A:A, I:I=I365))
)"),19)</f>
        <v>19</v>
      </c>
      <c r="L365" s="36"/>
      <c r="M365" s="36"/>
      <c r="N365" s="36"/>
    </row>
    <row r="366" spans="1:14" ht="15" x14ac:dyDescent="0.25">
      <c r="A366" s="33" t="s">
        <v>214</v>
      </c>
      <c r="B366" s="34">
        <v>45916</v>
      </c>
      <c r="C366" s="35" t="str">
        <f t="shared" si="11"/>
        <v>09-2025</v>
      </c>
      <c r="D366" s="36" t="s">
        <v>51</v>
      </c>
      <c r="E366" s="36" t="s">
        <v>68</v>
      </c>
      <c r="F366" s="37">
        <v>52.58</v>
      </c>
      <c r="G366" s="36" t="s">
        <v>37</v>
      </c>
      <c r="H366" s="37">
        <f t="shared" si="1"/>
        <v>1</v>
      </c>
      <c r="I366" s="37">
        <f t="shared" si="12"/>
        <v>4</v>
      </c>
      <c r="J366" s="37" t="str">
        <f>IF(COUNTIF($A$2:A366,A366)=1,"New","Repeat")</f>
        <v>New</v>
      </c>
      <c r="K366" s="37">
        <f ca="1">IFERROR(__xludf.DUMMYFUNCTION("IF(I366=""4+"",
   COUNTUNIQUE(FILTER(A:A, I:I&gt;=4)),
   COUNTUNIQUE(FILTER(A:A, I:I=I366))
)"),32)</f>
        <v>32</v>
      </c>
      <c r="L366" s="36"/>
      <c r="M366" s="36"/>
      <c r="N366" s="36"/>
    </row>
    <row r="367" spans="1:14" ht="15" x14ac:dyDescent="0.25">
      <c r="A367" s="33" t="s">
        <v>86</v>
      </c>
      <c r="B367" s="34">
        <v>45817</v>
      </c>
      <c r="C367" s="35" t="str">
        <f t="shared" si="11"/>
        <v>06-2025</v>
      </c>
      <c r="D367" s="36" t="s">
        <v>51</v>
      </c>
      <c r="E367" s="36" t="s">
        <v>68</v>
      </c>
      <c r="F367" s="37">
        <v>226.26</v>
      </c>
      <c r="G367" s="36" t="s">
        <v>16</v>
      </c>
      <c r="H367" s="37">
        <f t="shared" si="1"/>
        <v>1</v>
      </c>
      <c r="I367" s="37">
        <f t="shared" si="12"/>
        <v>7</v>
      </c>
      <c r="J367" s="37" t="str">
        <f>IF(COUNTIF($A$2:A367,A367)=1,"New","Repeat")</f>
        <v>Repeat</v>
      </c>
      <c r="K367" s="37">
        <f ca="1">IFERROR(__xludf.DUMMYFUNCTION("IF(I367=""4+"",
   COUNTUNIQUE(FILTER(A:A, I:I&gt;=4)),
   COUNTUNIQUE(FILTER(A:A, I:I=I367))
)"),4)</f>
        <v>4</v>
      </c>
      <c r="L367" s="36"/>
      <c r="M367" s="36"/>
      <c r="N367" s="36"/>
    </row>
    <row r="368" spans="1:14" ht="15" x14ac:dyDescent="0.25">
      <c r="A368" s="33" t="s">
        <v>89</v>
      </c>
      <c r="B368" s="34">
        <v>45869</v>
      </c>
      <c r="C368" s="35" t="str">
        <f t="shared" si="11"/>
        <v>07-2025</v>
      </c>
      <c r="D368" s="36" t="s">
        <v>35</v>
      </c>
      <c r="E368" s="36" t="s">
        <v>39</v>
      </c>
      <c r="F368" s="37">
        <v>184.2</v>
      </c>
      <c r="G368" s="36" t="s">
        <v>16</v>
      </c>
      <c r="H368" s="37">
        <f t="shared" si="1"/>
        <v>1</v>
      </c>
      <c r="I368" s="37">
        <f t="shared" si="12"/>
        <v>2</v>
      </c>
      <c r="J368" s="37" t="str">
        <f>IF(COUNTIF($A$2:A368,A368)=1,"New","Repeat")</f>
        <v>Repeat</v>
      </c>
      <c r="K368" s="37">
        <f ca="1">IFERROR(__xludf.DUMMYFUNCTION("IF(I368=""4+"",
   COUNTUNIQUE(FILTER(A:A, I:I&gt;=4)),
   COUNTUNIQUE(FILTER(A:A, I:I=I368))
)"),37)</f>
        <v>37</v>
      </c>
      <c r="L368" s="36"/>
      <c r="M368" s="36"/>
      <c r="N368" s="36"/>
    </row>
    <row r="369" spans="1:14" ht="15" x14ac:dyDescent="0.25">
      <c r="A369" s="33" t="s">
        <v>128</v>
      </c>
      <c r="B369" s="34">
        <v>45992</v>
      </c>
      <c r="C369" s="35" t="str">
        <f t="shared" si="11"/>
        <v>12-2025</v>
      </c>
      <c r="D369" s="36" t="s">
        <v>35</v>
      </c>
      <c r="E369" s="36" t="s">
        <v>54</v>
      </c>
      <c r="F369" s="37">
        <v>379.58</v>
      </c>
      <c r="G369" s="36" t="s">
        <v>22</v>
      </c>
      <c r="H369" s="37">
        <f t="shared" si="1"/>
        <v>1</v>
      </c>
      <c r="I369" s="37">
        <f t="shared" si="12"/>
        <v>6</v>
      </c>
      <c r="J369" s="37" t="str">
        <f>IF(COUNTIF($A$2:A369,A369)=1,"New","Repeat")</f>
        <v>Repeat</v>
      </c>
      <c r="K369" s="37">
        <f ca="1">IFERROR(__xludf.DUMMYFUNCTION("IF(I369=""4+"",
   COUNTUNIQUE(FILTER(A:A, I:I&gt;=4)),
   COUNTUNIQUE(FILTER(A:A, I:I=I369))
)"),19)</f>
        <v>19</v>
      </c>
      <c r="L369" s="36"/>
      <c r="M369" s="36"/>
      <c r="N369" s="36"/>
    </row>
    <row r="370" spans="1:14" ht="15" x14ac:dyDescent="0.25">
      <c r="A370" s="33" t="s">
        <v>63</v>
      </c>
      <c r="B370" s="34">
        <v>45929</v>
      </c>
      <c r="C370" s="35" t="str">
        <f t="shared" si="11"/>
        <v>09-2025</v>
      </c>
      <c r="D370" s="36" t="s">
        <v>14</v>
      </c>
      <c r="E370" s="36" t="s">
        <v>15</v>
      </c>
      <c r="F370" s="37">
        <v>11.65</v>
      </c>
      <c r="G370" s="36" t="s">
        <v>30</v>
      </c>
      <c r="H370" s="37">
        <f t="shared" si="1"/>
        <v>1</v>
      </c>
      <c r="I370" s="37">
        <f t="shared" si="12"/>
        <v>6</v>
      </c>
      <c r="J370" s="37" t="str">
        <f>IF(COUNTIF($A$2:A370,A370)=1,"New","Repeat")</f>
        <v>Repeat</v>
      </c>
      <c r="K370" s="37">
        <f ca="1">IFERROR(__xludf.DUMMYFUNCTION("IF(I370=""4+"",
   COUNTUNIQUE(FILTER(A:A, I:I&gt;=4)),
   COUNTUNIQUE(FILTER(A:A, I:I=I370))
)"),19)</f>
        <v>19</v>
      </c>
      <c r="L370" s="36"/>
      <c r="M370" s="36"/>
      <c r="N370" s="36"/>
    </row>
    <row r="371" spans="1:14" ht="15" x14ac:dyDescent="0.25">
      <c r="A371" s="33" t="s">
        <v>196</v>
      </c>
      <c r="B371" s="34">
        <v>45924</v>
      </c>
      <c r="C371" s="35" t="str">
        <f t="shared" si="11"/>
        <v>09-2025</v>
      </c>
      <c r="D371" s="36" t="s">
        <v>51</v>
      </c>
      <c r="E371" s="36" t="s">
        <v>145</v>
      </c>
      <c r="F371" s="37">
        <v>83.44</v>
      </c>
      <c r="G371" s="36" t="s">
        <v>16</v>
      </c>
      <c r="H371" s="37">
        <f t="shared" si="1"/>
        <v>1</v>
      </c>
      <c r="I371" s="37">
        <f t="shared" si="12"/>
        <v>2</v>
      </c>
      <c r="J371" s="37" t="str">
        <f>IF(COUNTIF($A$2:A371,A371)=1,"New","Repeat")</f>
        <v>Repeat</v>
      </c>
      <c r="K371" s="37">
        <f ca="1">IFERROR(__xludf.DUMMYFUNCTION("IF(I371=""4+"",
   COUNTUNIQUE(FILTER(A:A, I:I&gt;=4)),
   COUNTUNIQUE(FILTER(A:A, I:I=I371))
)"),37)</f>
        <v>37</v>
      </c>
      <c r="L371" s="36"/>
      <c r="M371" s="36"/>
      <c r="N371" s="36"/>
    </row>
    <row r="372" spans="1:14" ht="15" x14ac:dyDescent="0.25">
      <c r="A372" s="33" t="s">
        <v>161</v>
      </c>
      <c r="B372" s="34">
        <v>45890</v>
      </c>
      <c r="C372" s="35" t="str">
        <f t="shared" si="11"/>
        <v>08-2025</v>
      </c>
      <c r="D372" s="36" t="s">
        <v>35</v>
      </c>
      <c r="E372" s="36" t="s">
        <v>58</v>
      </c>
      <c r="F372" s="37">
        <v>463.81</v>
      </c>
      <c r="G372" s="36" t="s">
        <v>22</v>
      </c>
      <c r="H372" s="37">
        <f t="shared" si="1"/>
        <v>1</v>
      </c>
      <c r="I372" s="37">
        <f t="shared" si="12"/>
        <v>6</v>
      </c>
      <c r="J372" s="37" t="str">
        <f>IF(COUNTIF($A$2:A372,A372)=1,"New","Repeat")</f>
        <v>Repeat</v>
      </c>
      <c r="K372" s="37">
        <f ca="1">IFERROR(__xludf.DUMMYFUNCTION("IF(I372=""4+"",
   COUNTUNIQUE(FILTER(A:A, I:I&gt;=4)),
   COUNTUNIQUE(FILTER(A:A, I:I=I372))
)"),19)</f>
        <v>19</v>
      </c>
      <c r="L372" s="36"/>
      <c r="M372" s="36"/>
      <c r="N372" s="36"/>
    </row>
    <row r="373" spans="1:14" ht="15" x14ac:dyDescent="0.25">
      <c r="A373" s="33" t="s">
        <v>177</v>
      </c>
      <c r="B373" s="34">
        <v>45880</v>
      </c>
      <c r="C373" s="35" t="str">
        <f t="shared" si="11"/>
        <v>08-2025</v>
      </c>
      <c r="D373" s="36" t="s">
        <v>14</v>
      </c>
      <c r="E373" s="36" t="s">
        <v>96</v>
      </c>
      <c r="F373" s="37">
        <v>344.77</v>
      </c>
      <c r="G373" s="36" t="s">
        <v>16</v>
      </c>
      <c r="H373" s="37">
        <f t="shared" si="1"/>
        <v>1</v>
      </c>
      <c r="I373" s="37">
        <f t="shared" si="12"/>
        <v>6</v>
      </c>
      <c r="J373" s="37" t="str">
        <f>IF(COUNTIF($A$2:A373,A373)=1,"New","Repeat")</f>
        <v>Repeat</v>
      </c>
      <c r="K373" s="37">
        <f ca="1">IFERROR(__xludf.DUMMYFUNCTION("IF(I373=""4+"",
   COUNTUNIQUE(FILTER(A:A, I:I&gt;=4)),
   COUNTUNIQUE(FILTER(A:A, I:I=I373))
)"),19)</f>
        <v>19</v>
      </c>
      <c r="L373" s="36"/>
      <c r="M373" s="36"/>
      <c r="N373" s="36"/>
    </row>
    <row r="374" spans="1:14" ht="15" x14ac:dyDescent="0.25">
      <c r="A374" s="33" t="s">
        <v>177</v>
      </c>
      <c r="B374" s="34">
        <v>45719</v>
      </c>
      <c r="C374" s="35" t="str">
        <f t="shared" si="11"/>
        <v>03-2025</v>
      </c>
      <c r="D374" s="36" t="s">
        <v>51</v>
      </c>
      <c r="E374" s="36" t="s">
        <v>72</v>
      </c>
      <c r="F374" s="37">
        <v>371.42</v>
      </c>
      <c r="G374" s="36" t="s">
        <v>16</v>
      </c>
      <c r="H374" s="37">
        <f t="shared" si="1"/>
        <v>1</v>
      </c>
      <c r="I374" s="37">
        <f t="shared" si="12"/>
        <v>6</v>
      </c>
      <c r="J374" s="37" t="str">
        <f>IF(COUNTIF($A$2:A374,A374)=1,"New","Repeat")</f>
        <v>Repeat</v>
      </c>
      <c r="K374" s="37">
        <f ca="1">IFERROR(__xludf.DUMMYFUNCTION("IF(I374=""4+"",
   COUNTUNIQUE(FILTER(A:A, I:I&gt;=4)),
   COUNTUNIQUE(FILTER(A:A, I:I=I374))
)"),19)</f>
        <v>19</v>
      </c>
      <c r="L374" s="36"/>
      <c r="M374" s="36"/>
      <c r="N374" s="36"/>
    </row>
    <row r="375" spans="1:14" ht="15" x14ac:dyDescent="0.25">
      <c r="A375" s="33" t="s">
        <v>61</v>
      </c>
      <c r="B375" s="34">
        <v>45764</v>
      </c>
      <c r="C375" s="35" t="str">
        <f t="shared" si="11"/>
        <v>04-2025</v>
      </c>
      <c r="D375" s="36" t="s">
        <v>28</v>
      </c>
      <c r="E375" s="36" t="s">
        <v>74</v>
      </c>
      <c r="F375" s="37">
        <v>104.14</v>
      </c>
      <c r="G375" s="36" t="s">
        <v>25</v>
      </c>
      <c r="H375" s="37">
        <f t="shared" si="1"/>
        <v>1</v>
      </c>
      <c r="I375" s="37">
        <f t="shared" si="12"/>
        <v>6</v>
      </c>
      <c r="J375" s="37" t="str">
        <f>IF(COUNTIF($A$2:A375,A375)=1,"New","Repeat")</f>
        <v>Repeat</v>
      </c>
      <c r="K375" s="37">
        <f ca="1">IFERROR(__xludf.DUMMYFUNCTION("IF(I375=""4+"",
   COUNTUNIQUE(FILTER(A:A, I:I&gt;=4)),
   COUNTUNIQUE(FILTER(A:A, I:I=I375))
)"),19)</f>
        <v>19</v>
      </c>
      <c r="L375" s="36"/>
      <c r="M375" s="36"/>
      <c r="N375" s="36"/>
    </row>
    <row r="376" spans="1:14" ht="15" x14ac:dyDescent="0.25">
      <c r="A376" s="33" t="s">
        <v>215</v>
      </c>
      <c r="B376" s="34">
        <v>45793</v>
      </c>
      <c r="C376" s="35" t="str">
        <f t="shared" si="11"/>
        <v>05-2025</v>
      </c>
      <c r="D376" s="36" t="s">
        <v>51</v>
      </c>
      <c r="E376" s="36" t="s">
        <v>145</v>
      </c>
      <c r="F376" s="37">
        <v>207.05</v>
      </c>
      <c r="G376" s="36" t="s">
        <v>16</v>
      </c>
      <c r="H376" s="37">
        <f t="shared" si="1"/>
        <v>1</v>
      </c>
      <c r="I376" s="37">
        <f t="shared" si="12"/>
        <v>2</v>
      </c>
      <c r="J376" s="37" t="str">
        <f>IF(COUNTIF($A$2:A376,A376)=1,"New","Repeat")</f>
        <v>New</v>
      </c>
      <c r="K376" s="37">
        <f ca="1">IFERROR(__xludf.DUMMYFUNCTION("IF(I376=""4+"",
   COUNTUNIQUE(FILTER(A:A, I:I&gt;=4)),
   COUNTUNIQUE(FILTER(A:A, I:I=I376))
)"),37)</f>
        <v>37</v>
      </c>
      <c r="L376" s="36"/>
      <c r="M376" s="36"/>
      <c r="N376" s="36"/>
    </row>
    <row r="377" spans="1:14" ht="15" x14ac:dyDescent="0.25">
      <c r="A377" s="33" t="s">
        <v>199</v>
      </c>
      <c r="B377" s="39">
        <v>46008</v>
      </c>
      <c r="C377" s="35" t="str">
        <f t="shared" si="11"/>
        <v>12-2025</v>
      </c>
      <c r="D377" s="36" t="s">
        <v>35</v>
      </c>
      <c r="E377" s="36" t="s">
        <v>58</v>
      </c>
      <c r="F377" s="37">
        <v>106.28</v>
      </c>
      <c r="G377" s="36" t="s">
        <v>33</v>
      </c>
      <c r="H377" s="37">
        <f t="shared" si="1"/>
        <v>1</v>
      </c>
      <c r="I377" s="37">
        <f t="shared" si="12"/>
        <v>4</v>
      </c>
      <c r="J377" s="37" t="str">
        <f>IF(COUNTIF($A$2:A377,A377)=1,"New","Repeat")</f>
        <v>Repeat</v>
      </c>
      <c r="K377" s="37">
        <f ca="1">IFERROR(__xludf.DUMMYFUNCTION("IF(I377=""4+"",
   COUNTUNIQUE(FILTER(A:A, I:I&gt;=4)),
   COUNTUNIQUE(FILTER(A:A, I:I=I377))
)"),32)</f>
        <v>32</v>
      </c>
      <c r="L377" s="36"/>
      <c r="M377" s="36"/>
      <c r="N377" s="36"/>
    </row>
    <row r="378" spans="1:14" ht="15" x14ac:dyDescent="0.25">
      <c r="A378" s="33" t="s">
        <v>49</v>
      </c>
      <c r="B378" s="39">
        <v>45985</v>
      </c>
      <c r="C378" s="35" t="str">
        <f t="shared" si="11"/>
        <v>11-2025</v>
      </c>
      <c r="D378" s="36" t="s">
        <v>28</v>
      </c>
      <c r="E378" s="36" t="s">
        <v>74</v>
      </c>
      <c r="F378" s="37">
        <v>448.65</v>
      </c>
      <c r="G378" s="36" t="s">
        <v>22</v>
      </c>
      <c r="H378" s="37">
        <f t="shared" si="1"/>
        <v>1</v>
      </c>
      <c r="I378" s="37">
        <f t="shared" si="12"/>
        <v>4</v>
      </c>
      <c r="J378" s="37" t="str">
        <f>IF(COUNTIF($A$2:A378,A378)=1,"New","Repeat")</f>
        <v>Repeat</v>
      </c>
      <c r="K378" s="37">
        <f ca="1">IFERROR(__xludf.DUMMYFUNCTION("IF(I378=""4+"",
   COUNTUNIQUE(FILTER(A:A, I:I&gt;=4)),
   COUNTUNIQUE(FILTER(A:A, I:I=I378))
)"),32)</f>
        <v>32</v>
      </c>
      <c r="L378" s="36"/>
      <c r="M378" s="36"/>
      <c r="N378" s="36"/>
    </row>
    <row r="379" spans="1:14" ht="15" x14ac:dyDescent="0.25">
      <c r="A379" s="33" t="s">
        <v>57</v>
      </c>
      <c r="B379" s="34">
        <v>46039</v>
      </c>
      <c r="C379" s="35" t="str">
        <f t="shared" si="11"/>
        <v>01-2026</v>
      </c>
      <c r="D379" s="36" t="s">
        <v>35</v>
      </c>
      <c r="E379" s="36" t="s">
        <v>36</v>
      </c>
      <c r="F379" s="37">
        <v>361.83</v>
      </c>
      <c r="G379" s="36" t="s">
        <v>16</v>
      </c>
      <c r="H379" s="37">
        <f t="shared" si="1"/>
        <v>1</v>
      </c>
      <c r="I379" s="37">
        <f t="shared" si="12"/>
        <v>3</v>
      </c>
      <c r="J379" s="37" t="str">
        <f>IF(COUNTIF($A$2:A379,A379)=1,"New","Repeat")</f>
        <v>Repeat</v>
      </c>
      <c r="K379" s="37">
        <f ca="1">IFERROR(__xludf.DUMMYFUNCTION("IF(I379=""4+"",
   COUNTUNIQUE(FILTER(A:A, I:I&gt;=4)),
   COUNTUNIQUE(FILTER(A:A, I:I=I379))
)"),42)</f>
        <v>42</v>
      </c>
      <c r="L379" s="36"/>
      <c r="M379" s="36"/>
      <c r="N379" s="36"/>
    </row>
    <row r="380" spans="1:14" ht="15" x14ac:dyDescent="0.25">
      <c r="A380" s="33" t="s">
        <v>20</v>
      </c>
      <c r="B380" s="34">
        <v>45761</v>
      </c>
      <c r="C380" s="35" t="str">
        <f t="shared" si="11"/>
        <v>04-2025</v>
      </c>
      <c r="D380" s="36" t="s">
        <v>28</v>
      </c>
      <c r="E380" s="36" t="s">
        <v>87</v>
      </c>
      <c r="F380" s="37">
        <v>79.12</v>
      </c>
      <c r="G380" s="36" t="s">
        <v>33</v>
      </c>
      <c r="H380" s="37">
        <f t="shared" si="1"/>
        <v>1</v>
      </c>
      <c r="I380" s="37">
        <f t="shared" si="12"/>
        <v>5</v>
      </c>
      <c r="J380" s="37" t="str">
        <f>IF(COUNTIF($A$2:A380,A380)=1,"New","Repeat")</f>
        <v>Repeat</v>
      </c>
      <c r="K380" s="37">
        <f ca="1">IFERROR(__xludf.DUMMYFUNCTION("IF(I380=""4+"",
   COUNTUNIQUE(FILTER(A:A, I:I&gt;=4)),
   COUNTUNIQUE(FILTER(A:A, I:I=I380))
)"),34)</f>
        <v>34</v>
      </c>
      <c r="L380" s="36"/>
      <c r="M380" s="36"/>
      <c r="N380" s="36"/>
    </row>
    <row r="381" spans="1:14" ht="15" x14ac:dyDescent="0.25">
      <c r="A381" s="33" t="s">
        <v>208</v>
      </c>
      <c r="B381" s="34">
        <v>45965</v>
      </c>
      <c r="C381" s="35" t="str">
        <f t="shared" si="11"/>
        <v>11-2025</v>
      </c>
      <c r="D381" s="36" t="s">
        <v>51</v>
      </c>
      <c r="E381" s="36" t="s">
        <v>68</v>
      </c>
      <c r="F381" s="37">
        <v>356.99</v>
      </c>
      <c r="G381" s="36" t="s">
        <v>33</v>
      </c>
      <c r="H381" s="37">
        <f t="shared" si="1"/>
        <v>1</v>
      </c>
      <c r="I381" s="37">
        <f t="shared" si="12"/>
        <v>3</v>
      </c>
      <c r="J381" s="37" t="str">
        <f>IF(COUNTIF($A$2:A381,A381)=1,"New","Repeat")</f>
        <v>Repeat</v>
      </c>
      <c r="K381" s="37">
        <f ca="1">IFERROR(__xludf.DUMMYFUNCTION("IF(I381=""4+"",
   COUNTUNIQUE(FILTER(A:A, I:I&gt;=4)),
   COUNTUNIQUE(FILTER(A:A, I:I=I381))
)"),42)</f>
        <v>42</v>
      </c>
      <c r="L381" s="36"/>
      <c r="M381" s="36"/>
      <c r="N381" s="36"/>
    </row>
    <row r="382" spans="1:14" ht="15" x14ac:dyDescent="0.25">
      <c r="A382" s="33" t="s">
        <v>197</v>
      </c>
      <c r="B382" s="34">
        <v>45799</v>
      </c>
      <c r="C382" s="35" t="str">
        <f t="shared" si="11"/>
        <v>05-2025</v>
      </c>
      <c r="D382" s="36" t="s">
        <v>51</v>
      </c>
      <c r="E382" s="36" t="s">
        <v>72</v>
      </c>
      <c r="F382" s="37">
        <v>386.73</v>
      </c>
      <c r="G382" s="36" t="s">
        <v>25</v>
      </c>
      <c r="H382" s="37">
        <f t="shared" si="1"/>
        <v>1</v>
      </c>
      <c r="I382" s="37">
        <f t="shared" si="12"/>
        <v>5</v>
      </c>
      <c r="J382" s="37" t="str">
        <f>IF(COUNTIF($A$2:A382,A382)=1,"New","Repeat")</f>
        <v>Repeat</v>
      </c>
      <c r="K382" s="37">
        <f ca="1">IFERROR(__xludf.DUMMYFUNCTION("IF(I382=""4+"",
   COUNTUNIQUE(FILTER(A:A, I:I&gt;=4)),
   COUNTUNIQUE(FILTER(A:A, I:I=I382))
)"),34)</f>
        <v>34</v>
      </c>
      <c r="L382" s="36"/>
      <c r="M382" s="36"/>
      <c r="N382" s="36"/>
    </row>
    <row r="383" spans="1:14" ht="15" x14ac:dyDescent="0.25">
      <c r="A383" s="33" t="s">
        <v>192</v>
      </c>
      <c r="B383" s="34">
        <v>45886</v>
      </c>
      <c r="C383" s="35" t="str">
        <f t="shared" si="11"/>
        <v>08-2025</v>
      </c>
      <c r="D383" s="36" t="s">
        <v>28</v>
      </c>
      <c r="E383" s="36" t="s">
        <v>45</v>
      </c>
      <c r="F383" s="37">
        <v>149.16</v>
      </c>
      <c r="G383" s="36" t="s">
        <v>70</v>
      </c>
      <c r="H383" s="37">
        <f t="shared" si="1"/>
        <v>1</v>
      </c>
      <c r="I383" s="37">
        <f t="shared" si="12"/>
        <v>5</v>
      </c>
      <c r="J383" s="37" t="str">
        <f>IF(COUNTIF($A$2:A383,A383)=1,"New","Repeat")</f>
        <v>Repeat</v>
      </c>
      <c r="K383" s="37">
        <f ca="1">IFERROR(__xludf.DUMMYFUNCTION("IF(I383=""4+"",
   COUNTUNIQUE(FILTER(A:A, I:I&gt;=4)),
   COUNTUNIQUE(FILTER(A:A, I:I=I383))
)"),34)</f>
        <v>34</v>
      </c>
      <c r="L383" s="36"/>
      <c r="M383" s="36"/>
      <c r="N383" s="36"/>
    </row>
    <row r="384" spans="1:14" ht="15" x14ac:dyDescent="0.25">
      <c r="A384" s="33" t="s">
        <v>116</v>
      </c>
      <c r="B384" s="34">
        <v>45932</v>
      </c>
      <c r="C384" s="35" t="str">
        <f t="shared" si="11"/>
        <v>10-2025</v>
      </c>
      <c r="D384" s="36" t="s">
        <v>28</v>
      </c>
      <c r="E384" s="36" t="s">
        <v>87</v>
      </c>
      <c r="F384" s="37">
        <v>334.87</v>
      </c>
      <c r="G384" s="36" t="s">
        <v>70</v>
      </c>
      <c r="H384" s="37">
        <f t="shared" si="1"/>
        <v>1</v>
      </c>
      <c r="I384" s="37">
        <f t="shared" si="12"/>
        <v>7</v>
      </c>
      <c r="J384" s="37" t="str">
        <f>IF(COUNTIF($A$2:A384,A384)=1,"New","Repeat")</f>
        <v>Repeat</v>
      </c>
      <c r="K384" s="37">
        <f ca="1">IFERROR(__xludf.DUMMYFUNCTION("IF(I384=""4+"",
   COUNTUNIQUE(FILTER(A:A, I:I&gt;=4)),
   COUNTUNIQUE(FILTER(A:A, I:I=I384))
)"),4)</f>
        <v>4</v>
      </c>
      <c r="L384" s="36"/>
      <c r="M384" s="36"/>
      <c r="N384" s="36"/>
    </row>
    <row r="385" spans="1:14" ht="15" x14ac:dyDescent="0.25">
      <c r="A385" s="33" t="s">
        <v>170</v>
      </c>
      <c r="B385" s="34">
        <v>45881</v>
      </c>
      <c r="C385" s="35" t="str">
        <f t="shared" si="11"/>
        <v>08-2025</v>
      </c>
      <c r="D385" s="36" t="s">
        <v>14</v>
      </c>
      <c r="E385" s="36" t="s">
        <v>32</v>
      </c>
      <c r="F385" s="37">
        <v>271.10000000000002</v>
      </c>
      <c r="G385" s="36" t="s">
        <v>33</v>
      </c>
      <c r="H385" s="37">
        <f t="shared" si="1"/>
        <v>1</v>
      </c>
      <c r="I385" s="37">
        <f t="shared" si="12"/>
        <v>6</v>
      </c>
      <c r="J385" s="37" t="str">
        <f>IF(COUNTIF($A$2:A385,A385)=1,"New","Repeat")</f>
        <v>Repeat</v>
      </c>
      <c r="K385" s="37">
        <f ca="1">IFERROR(__xludf.DUMMYFUNCTION("IF(I385=""4+"",
   COUNTUNIQUE(FILTER(A:A, I:I&gt;=4)),
   COUNTUNIQUE(FILTER(A:A, I:I=I385))
)"),19)</f>
        <v>19</v>
      </c>
      <c r="L385" s="36"/>
      <c r="M385" s="36"/>
      <c r="N385" s="36"/>
    </row>
    <row r="386" spans="1:14" ht="15" x14ac:dyDescent="0.25">
      <c r="A386" s="33" t="s">
        <v>92</v>
      </c>
      <c r="B386" s="34">
        <v>46069</v>
      </c>
      <c r="C386" s="35" t="str">
        <f t="shared" ref="C386:C449" si="13">TEXT(B:B, "mm-yyyy")</f>
        <v>02-2026</v>
      </c>
      <c r="D386" s="36" t="s">
        <v>51</v>
      </c>
      <c r="E386" s="36" t="s">
        <v>52</v>
      </c>
      <c r="F386" s="37">
        <v>114.48</v>
      </c>
      <c r="G386" s="36" t="s">
        <v>16</v>
      </c>
      <c r="H386" s="37">
        <f t="shared" si="1"/>
        <v>1</v>
      </c>
      <c r="I386" s="37">
        <f t="shared" ref="I386:I449" si="14">COUNTIF($A:$A, A386)</f>
        <v>6</v>
      </c>
      <c r="J386" s="37" t="str">
        <f>IF(COUNTIF($A$2:A386,A386)=1,"New","Repeat")</f>
        <v>Repeat</v>
      </c>
      <c r="K386" s="37">
        <f ca="1">IFERROR(__xludf.DUMMYFUNCTION("IF(I386=""4+"",
   COUNTUNIQUE(FILTER(A:A, I:I&gt;=4)),
   COUNTUNIQUE(FILTER(A:A, I:I=I386))
)"),19)</f>
        <v>19</v>
      </c>
      <c r="L386" s="36"/>
      <c r="M386" s="36"/>
      <c r="N386" s="36"/>
    </row>
    <row r="387" spans="1:14" ht="15" x14ac:dyDescent="0.25">
      <c r="A387" s="33" t="s">
        <v>165</v>
      </c>
      <c r="B387" s="34">
        <v>46073</v>
      </c>
      <c r="C387" s="35" t="str">
        <f t="shared" si="13"/>
        <v>02-2026</v>
      </c>
      <c r="D387" s="36" t="s">
        <v>51</v>
      </c>
      <c r="E387" s="36" t="s">
        <v>101</v>
      </c>
      <c r="F387" s="37">
        <v>302.67</v>
      </c>
      <c r="G387" s="36" t="s">
        <v>22</v>
      </c>
      <c r="H387" s="37">
        <f t="shared" si="1"/>
        <v>1</v>
      </c>
      <c r="I387" s="37">
        <f t="shared" si="14"/>
        <v>4</v>
      </c>
      <c r="J387" s="37" t="str">
        <f>IF(COUNTIF($A$2:A387,A387)=1,"New","Repeat")</f>
        <v>Repeat</v>
      </c>
      <c r="K387" s="37">
        <f ca="1">IFERROR(__xludf.DUMMYFUNCTION("IF(I387=""4+"",
   COUNTUNIQUE(FILTER(A:A, I:I&gt;=4)),
   COUNTUNIQUE(FILTER(A:A, I:I=I387))
)"),32)</f>
        <v>32</v>
      </c>
      <c r="L387" s="36"/>
      <c r="M387" s="36"/>
      <c r="N387" s="36"/>
    </row>
    <row r="388" spans="1:14" ht="15" x14ac:dyDescent="0.25">
      <c r="A388" s="33" t="s">
        <v>86</v>
      </c>
      <c r="B388" s="34">
        <v>45761</v>
      </c>
      <c r="C388" s="35" t="str">
        <f t="shared" si="13"/>
        <v>04-2025</v>
      </c>
      <c r="D388" s="36" t="s">
        <v>18</v>
      </c>
      <c r="E388" s="36" t="s">
        <v>24</v>
      </c>
      <c r="F388" s="37">
        <v>281.33</v>
      </c>
      <c r="G388" s="36" t="s">
        <v>37</v>
      </c>
      <c r="H388" s="37">
        <f t="shared" si="1"/>
        <v>1</v>
      </c>
      <c r="I388" s="37">
        <f t="shared" si="14"/>
        <v>7</v>
      </c>
      <c r="J388" s="37" t="str">
        <f>IF(COUNTIF($A$2:A388,A388)=1,"New","Repeat")</f>
        <v>Repeat</v>
      </c>
      <c r="K388" s="37">
        <f ca="1">IFERROR(__xludf.DUMMYFUNCTION("IF(I388=""4+"",
   COUNTUNIQUE(FILTER(A:A, I:I&gt;=4)),
   COUNTUNIQUE(FILTER(A:A, I:I=I388))
)"),4)</f>
        <v>4</v>
      </c>
      <c r="L388" s="36"/>
      <c r="M388" s="36"/>
      <c r="N388" s="36"/>
    </row>
    <row r="389" spans="1:14" ht="15" x14ac:dyDescent="0.25">
      <c r="A389" s="33" t="s">
        <v>193</v>
      </c>
      <c r="B389" s="34">
        <v>46057</v>
      </c>
      <c r="C389" s="35" t="str">
        <f t="shared" si="13"/>
        <v>02-2026</v>
      </c>
      <c r="D389" s="36" t="s">
        <v>14</v>
      </c>
      <c r="E389" s="36" t="s">
        <v>96</v>
      </c>
      <c r="F389" s="37">
        <v>94.35</v>
      </c>
      <c r="G389" s="36" t="s">
        <v>25</v>
      </c>
      <c r="H389" s="37">
        <f t="shared" si="1"/>
        <v>1</v>
      </c>
      <c r="I389" s="37">
        <f t="shared" si="14"/>
        <v>5</v>
      </c>
      <c r="J389" s="37" t="str">
        <f>IF(COUNTIF($A$2:A389,A389)=1,"New","Repeat")</f>
        <v>Repeat</v>
      </c>
      <c r="K389" s="37">
        <f ca="1">IFERROR(__xludf.DUMMYFUNCTION("IF(I389=""4+"",
   COUNTUNIQUE(FILTER(A:A, I:I&gt;=4)),
   COUNTUNIQUE(FILTER(A:A, I:I=I389))
)"),34)</f>
        <v>34</v>
      </c>
      <c r="L389" s="36"/>
      <c r="M389" s="36"/>
      <c r="N389" s="36"/>
    </row>
    <row r="390" spans="1:14" ht="15" x14ac:dyDescent="0.25">
      <c r="A390" s="33" t="s">
        <v>205</v>
      </c>
      <c r="B390" s="34">
        <v>45935</v>
      </c>
      <c r="C390" s="35" t="str">
        <f t="shared" si="13"/>
        <v>10-2025</v>
      </c>
      <c r="D390" s="36" t="s">
        <v>51</v>
      </c>
      <c r="E390" s="36" t="s">
        <v>68</v>
      </c>
      <c r="F390" s="37">
        <v>215.74</v>
      </c>
      <c r="G390" s="36" t="s">
        <v>33</v>
      </c>
      <c r="H390" s="37">
        <f t="shared" si="1"/>
        <v>1</v>
      </c>
      <c r="I390" s="37">
        <f t="shared" si="14"/>
        <v>2</v>
      </c>
      <c r="J390" s="37" t="str">
        <f>IF(COUNTIF($A$2:A390,A390)=1,"New","Repeat")</f>
        <v>Repeat</v>
      </c>
      <c r="K390" s="37">
        <f ca="1">IFERROR(__xludf.DUMMYFUNCTION("IF(I390=""4+"",
   COUNTUNIQUE(FILTER(A:A, I:I&gt;=4)),
   COUNTUNIQUE(FILTER(A:A, I:I=I390))
)"),37)</f>
        <v>37</v>
      </c>
      <c r="L390" s="36"/>
      <c r="M390" s="36"/>
      <c r="N390" s="36"/>
    </row>
    <row r="391" spans="1:14" ht="15" x14ac:dyDescent="0.25">
      <c r="A391" s="33" t="s">
        <v>183</v>
      </c>
      <c r="B391" s="34">
        <v>45813</v>
      </c>
      <c r="C391" s="35" t="str">
        <f t="shared" si="13"/>
        <v>06-2025</v>
      </c>
      <c r="D391" s="36" t="s">
        <v>51</v>
      </c>
      <c r="E391" s="36" t="s">
        <v>145</v>
      </c>
      <c r="F391" s="37">
        <v>346.08</v>
      </c>
      <c r="G391" s="36" t="s">
        <v>16</v>
      </c>
      <c r="H391" s="37">
        <f t="shared" si="1"/>
        <v>1</v>
      </c>
      <c r="I391" s="37">
        <f t="shared" si="14"/>
        <v>3</v>
      </c>
      <c r="J391" s="37" t="str">
        <f>IF(COUNTIF($A$2:A391,A391)=1,"New","Repeat")</f>
        <v>Repeat</v>
      </c>
      <c r="K391" s="37">
        <f ca="1">IFERROR(__xludf.DUMMYFUNCTION("IF(I391=""4+"",
   COUNTUNIQUE(FILTER(A:A, I:I&gt;=4)),
   COUNTUNIQUE(FILTER(A:A, I:I=I391))
)"),42)</f>
        <v>42</v>
      </c>
      <c r="L391" s="36"/>
      <c r="M391" s="36"/>
      <c r="N391" s="36"/>
    </row>
    <row r="392" spans="1:14" ht="15" x14ac:dyDescent="0.25">
      <c r="A392" s="33" t="s">
        <v>119</v>
      </c>
      <c r="B392" s="34">
        <v>45992</v>
      </c>
      <c r="C392" s="35" t="str">
        <f t="shared" si="13"/>
        <v>12-2025</v>
      </c>
      <c r="D392" s="36" t="s">
        <v>35</v>
      </c>
      <c r="E392" s="36" t="s">
        <v>36</v>
      </c>
      <c r="F392" s="37">
        <v>394.95</v>
      </c>
      <c r="G392" s="36" t="s">
        <v>25</v>
      </c>
      <c r="H392" s="37">
        <f t="shared" si="1"/>
        <v>1</v>
      </c>
      <c r="I392" s="37">
        <f t="shared" si="14"/>
        <v>6</v>
      </c>
      <c r="J392" s="37" t="str">
        <f>IF(COUNTIF($A$2:A392,A392)=1,"New","Repeat")</f>
        <v>Repeat</v>
      </c>
      <c r="K392" s="37">
        <f ca="1">IFERROR(__xludf.DUMMYFUNCTION("IF(I392=""4+"",
   COUNTUNIQUE(FILTER(A:A, I:I&gt;=4)),
   COUNTUNIQUE(FILTER(A:A, I:I=I392))
)"),19)</f>
        <v>19</v>
      </c>
      <c r="L392" s="36"/>
      <c r="M392" s="36"/>
      <c r="N392" s="36"/>
    </row>
    <row r="393" spans="1:14" ht="15" x14ac:dyDescent="0.25">
      <c r="A393" s="33" t="s">
        <v>108</v>
      </c>
      <c r="B393" s="34">
        <v>45733</v>
      </c>
      <c r="C393" s="35" t="str">
        <f t="shared" si="13"/>
        <v>03-2025</v>
      </c>
      <c r="D393" s="36" t="s">
        <v>18</v>
      </c>
      <c r="E393" s="36" t="s">
        <v>24</v>
      </c>
      <c r="F393" s="37">
        <v>274.08999999999997</v>
      </c>
      <c r="G393" s="36" t="s">
        <v>30</v>
      </c>
      <c r="H393" s="37">
        <f t="shared" si="1"/>
        <v>1</v>
      </c>
      <c r="I393" s="37">
        <f t="shared" si="14"/>
        <v>4</v>
      </c>
      <c r="J393" s="37" t="str">
        <f>IF(COUNTIF($A$2:A393,A393)=1,"New","Repeat")</f>
        <v>Repeat</v>
      </c>
      <c r="K393" s="37">
        <f ca="1">IFERROR(__xludf.DUMMYFUNCTION("IF(I393=""4+"",
   COUNTUNIQUE(FILTER(A:A, I:I&gt;=4)),
   COUNTUNIQUE(FILTER(A:A, I:I=I393))
)"),32)</f>
        <v>32</v>
      </c>
      <c r="L393" s="36"/>
      <c r="M393" s="36"/>
      <c r="N393" s="36"/>
    </row>
    <row r="394" spans="1:14" ht="15" x14ac:dyDescent="0.25">
      <c r="A394" s="33" t="s">
        <v>71</v>
      </c>
      <c r="B394" s="34">
        <v>45920</v>
      </c>
      <c r="C394" s="35" t="str">
        <f t="shared" si="13"/>
        <v>09-2025</v>
      </c>
      <c r="D394" s="36" t="s">
        <v>35</v>
      </c>
      <c r="E394" s="36" t="s">
        <v>58</v>
      </c>
      <c r="F394" s="37">
        <v>221</v>
      </c>
      <c r="G394" s="36" t="s">
        <v>25</v>
      </c>
      <c r="H394" s="37">
        <f t="shared" si="1"/>
        <v>1</v>
      </c>
      <c r="I394" s="37">
        <f t="shared" si="14"/>
        <v>7</v>
      </c>
      <c r="J394" s="37" t="str">
        <f>IF(COUNTIF($A$2:A394,A394)=1,"New","Repeat")</f>
        <v>Repeat</v>
      </c>
      <c r="K394" s="37">
        <f ca="1">IFERROR(__xludf.DUMMYFUNCTION("IF(I394=""4+"",
   COUNTUNIQUE(FILTER(A:A, I:I&gt;=4)),
   COUNTUNIQUE(FILTER(A:A, I:I=I394))
)"),4)</f>
        <v>4</v>
      </c>
      <c r="L394" s="36"/>
      <c r="M394" s="36"/>
      <c r="N394" s="36"/>
    </row>
    <row r="395" spans="1:14" ht="15" x14ac:dyDescent="0.25">
      <c r="A395" s="33" t="s">
        <v>44</v>
      </c>
      <c r="B395" s="34">
        <v>46030</v>
      </c>
      <c r="C395" s="35" t="str">
        <f t="shared" si="13"/>
        <v>01-2026</v>
      </c>
      <c r="D395" s="36" t="s">
        <v>14</v>
      </c>
      <c r="E395" s="36" t="s">
        <v>15</v>
      </c>
      <c r="F395" s="37">
        <v>432.18</v>
      </c>
      <c r="G395" s="36" t="s">
        <v>33</v>
      </c>
      <c r="H395" s="37">
        <f t="shared" si="1"/>
        <v>1</v>
      </c>
      <c r="I395" s="37">
        <f t="shared" si="14"/>
        <v>5</v>
      </c>
      <c r="J395" s="37" t="str">
        <f>IF(COUNTIF($A$2:A395,A395)=1,"New","Repeat")</f>
        <v>Repeat</v>
      </c>
      <c r="K395" s="37">
        <f ca="1">IFERROR(__xludf.DUMMYFUNCTION("IF(I395=""4+"",
   COUNTUNIQUE(FILTER(A:A, I:I&gt;=4)),
   COUNTUNIQUE(FILTER(A:A, I:I=I395))
)"),34)</f>
        <v>34</v>
      </c>
      <c r="L395" s="36"/>
      <c r="M395" s="36"/>
      <c r="N395" s="36"/>
    </row>
    <row r="396" spans="1:14" ht="15" x14ac:dyDescent="0.25">
      <c r="A396" s="33" t="s">
        <v>50</v>
      </c>
      <c r="B396" s="39">
        <v>45959</v>
      </c>
      <c r="C396" s="35" t="str">
        <f t="shared" si="13"/>
        <v>10-2025</v>
      </c>
      <c r="D396" s="36" t="s">
        <v>35</v>
      </c>
      <c r="E396" s="36" t="s">
        <v>39</v>
      </c>
      <c r="F396" s="37">
        <v>452.32</v>
      </c>
      <c r="G396" s="36" t="s">
        <v>33</v>
      </c>
      <c r="H396" s="37">
        <f t="shared" si="1"/>
        <v>1</v>
      </c>
      <c r="I396" s="37">
        <f t="shared" si="14"/>
        <v>8</v>
      </c>
      <c r="J396" s="37" t="str">
        <f>IF(COUNTIF($A$2:A396,A396)=1,"New","Repeat")</f>
        <v>Repeat</v>
      </c>
      <c r="K396" s="37">
        <f ca="1">IFERROR(__xludf.DUMMYFUNCTION("IF(I396=""4+"",
   COUNTUNIQUE(FILTER(A:A, I:I&gt;=4)),
   COUNTUNIQUE(FILTER(A:A, I:I=I396))
)"),1)</f>
        <v>1</v>
      </c>
      <c r="L396" s="36"/>
      <c r="M396" s="36"/>
      <c r="N396" s="36"/>
    </row>
    <row r="397" spans="1:14" ht="15" x14ac:dyDescent="0.25">
      <c r="A397" s="33" t="s">
        <v>55</v>
      </c>
      <c r="B397" s="34">
        <v>45833</v>
      </c>
      <c r="C397" s="35" t="str">
        <f t="shared" si="13"/>
        <v>06-2025</v>
      </c>
      <c r="D397" s="36" t="s">
        <v>14</v>
      </c>
      <c r="E397" s="36" t="s">
        <v>59</v>
      </c>
      <c r="F397" s="37">
        <v>118.33</v>
      </c>
      <c r="G397" s="36" t="s">
        <v>22</v>
      </c>
      <c r="H397" s="37">
        <f t="shared" si="1"/>
        <v>1</v>
      </c>
      <c r="I397" s="37">
        <f t="shared" si="14"/>
        <v>5</v>
      </c>
      <c r="J397" s="37" t="str">
        <f>IF(COUNTIF($A$2:A397,A397)=1,"New","Repeat")</f>
        <v>Repeat</v>
      </c>
      <c r="K397" s="37">
        <f ca="1">IFERROR(__xludf.DUMMYFUNCTION("IF(I397=""4+"",
   COUNTUNIQUE(FILTER(A:A, I:I&gt;=4)),
   COUNTUNIQUE(FILTER(A:A, I:I=I397))
)"),34)</f>
        <v>34</v>
      </c>
      <c r="L397" s="36"/>
      <c r="M397" s="36"/>
      <c r="N397" s="36"/>
    </row>
    <row r="398" spans="1:14" ht="15" x14ac:dyDescent="0.25">
      <c r="A398" s="33" t="s">
        <v>139</v>
      </c>
      <c r="B398" s="34">
        <v>45733</v>
      </c>
      <c r="C398" s="35" t="str">
        <f t="shared" si="13"/>
        <v>03-2025</v>
      </c>
      <c r="D398" s="36" t="s">
        <v>18</v>
      </c>
      <c r="E398" s="36" t="s">
        <v>47</v>
      </c>
      <c r="F398" s="37">
        <v>132.66</v>
      </c>
      <c r="G398" s="36" t="s">
        <v>37</v>
      </c>
      <c r="H398" s="37">
        <f t="shared" si="1"/>
        <v>1</v>
      </c>
      <c r="I398" s="37">
        <f t="shared" si="14"/>
        <v>5</v>
      </c>
      <c r="J398" s="37" t="str">
        <f>IF(COUNTIF($A$2:A398,A398)=1,"New","Repeat")</f>
        <v>Repeat</v>
      </c>
      <c r="K398" s="37">
        <f ca="1">IFERROR(__xludf.DUMMYFUNCTION("IF(I398=""4+"",
   COUNTUNIQUE(FILTER(A:A, I:I&gt;=4)),
   COUNTUNIQUE(FILTER(A:A, I:I=I398))
)"),34)</f>
        <v>34</v>
      </c>
      <c r="L398" s="36"/>
      <c r="M398" s="36"/>
      <c r="N398" s="36"/>
    </row>
    <row r="399" spans="1:14" ht="15" x14ac:dyDescent="0.25">
      <c r="A399" s="33" t="s">
        <v>76</v>
      </c>
      <c r="B399" s="34">
        <v>45803</v>
      </c>
      <c r="C399" s="35" t="str">
        <f t="shared" si="13"/>
        <v>05-2025</v>
      </c>
      <c r="D399" s="36" t="s">
        <v>18</v>
      </c>
      <c r="E399" s="36" t="s">
        <v>21</v>
      </c>
      <c r="F399" s="37">
        <v>281.23</v>
      </c>
      <c r="G399" s="36" t="s">
        <v>30</v>
      </c>
      <c r="H399" s="37">
        <f t="shared" si="1"/>
        <v>1</v>
      </c>
      <c r="I399" s="37">
        <f t="shared" si="14"/>
        <v>3</v>
      </c>
      <c r="J399" s="37" t="str">
        <f>IF(COUNTIF($A$2:A399,A399)=1,"New","Repeat")</f>
        <v>Repeat</v>
      </c>
      <c r="K399" s="37">
        <f ca="1">IFERROR(__xludf.DUMMYFUNCTION("IF(I399=""4+"",
   COUNTUNIQUE(FILTER(A:A, I:I&gt;=4)),
   COUNTUNIQUE(FILTER(A:A, I:I=I399))
)"),42)</f>
        <v>42</v>
      </c>
      <c r="L399" s="36"/>
      <c r="M399" s="36"/>
      <c r="N399" s="36"/>
    </row>
    <row r="400" spans="1:14" ht="15" x14ac:dyDescent="0.25">
      <c r="A400" s="33" t="s">
        <v>210</v>
      </c>
      <c r="B400" s="39">
        <v>45944</v>
      </c>
      <c r="C400" s="35" t="str">
        <f t="shared" si="13"/>
        <v>10-2025</v>
      </c>
      <c r="D400" s="36" t="s">
        <v>35</v>
      </c>
      <c r="E400" s="36" t="s">
        <v>39</v>
      </c>
      <c r="F400" s="37">
        <v>196.71</v>
      </c>
      <c r="G400" s="36" t="s">
        <v>25</v>
      </c>
      <c r="H400" s="37">
        <f t="shared" si="1"/>
        <v>1</v>
      </c>
      <c r="I400" s="37">
        <f t="shared" si="14"/>
        <v>2</v>
      </c>
      <c r="J400" s="37" t="str">
        <f>IF(COUNTIF($A$2:A400,A400)=1,"New","Repeat")</f>
        <v>Repeat</v>
      </c>
      <c r="K400" s="37">
        <f ca="1">IFERROR(__xludf.DUMMYFUNCTION("IF(I400=""4+"",
   COUNTUNIQUE(FILTER(A:A, I:I&gt;=4)),
   COUNTUNIQUE(FILTER(A:A, I:I=I400))
)"),37)</f>
        <v>37</v>
      </c>
      <c r="L400" s="36"/>
      <c r="M400" s="36"/>
      <c r="N400" s="36"/>
    </row>
    <row r="401" spans="1:14" ht="15" x14ac:dyDescent="0.25">
      <c r="A401" s="33" t="s">
        <v>191</v>
      </c>
      <c r="B401" s="34">
        <v>46036</v>
      </c>
      <c r="C401" s="35" t="str">
        <f t="shared" si="13"/>
        <v>01-2026</v>
      </c>
      <c r="D401" s="36" t="s">
        <v>18</v>
      </c>
      <c r="E401" s="36" t="s">
        <v>47</v>
      </c>
      <c r="F401" s="37">
        <v>314.19</v>
      </c>
      <c r="G401" s="36" t="s">
        <v>25</v>
      </c>
      <c r="H401" s="37">
        <f t="shared" si="1"/>
        <v>1</v>
      </c>
      <c r="I401" s="37">
        <f t="shared" si="14"/>
        <v>3</v>
      </c>
      <c r="J401" s="37" t="str">
        <f>IF(COUNTIF($A$2:A401,A401)=1,"New","Repeat")</f>
        <v>Repeat</v>
      </c>
      <c r="K401" s="37">
        <f ca="1">IFERROR(__xludf.DUMMYFUNCTION("IF(I401=""4+"",
   COUNTUNIQUE(FILTER(A:A, I:I&gt;=4)),
   COUNTUNIQUE(FILTER(A:A, I:I=I401))
)"),42)</f>
        <v>42</v>
      </c>
      <c r="L401" s="36"/>
      <c r="M401" s="36"/>
      <c r="N401" s="36"/>
    </row>
    <row r="402" spans="1:14" ht="15" x14ac:dyDescent="0.25">
      <c r="A402" s="33" t="s">
        <v>170</v>
      </c>
      <c r="B402" s="34">
        <v>45785</v>
      </c>
      <c r="C402" s="35" t="str">
        <f t="shared" si="13"/>
        <v>05-2025</v>
      </c>
      <c r="D402" s="36" t="s">
        <v>28</v>
      </c>
      <c r="E402" s="36" t="s">
        <v>87</v>
      </c>
      <c r="F402" s="37">
        <v>58.57</v>
      </c>
      <c r="G402" s="36" t="s">
        <v>16</v>
      </c>
      <c r="H402" s="37">
        <f t="shared" si="1"/>
        <v>1</v>
      </c>
      <c r="I402" s="37">
        <f t="shared" si="14"/>
        <v>6</v>
      </c>
      <c r="J402" s="37" t="str">
        <f>IF(COUNTIF($A$2:A402,A402)=1,"New","Repeat")</f>
        <v>Repeat</v>
      </c>
      <c r="K402" s="37">
        <f ca="1">IFERROR(__xludf.DUMMYFUNCTION("IF(I402=""4+"",
   COUNTUNIQUE(FILTER(A:A, I:I&gt;=4)),
   COUNTUNIQUE(FILTER(A:A, I:I=I402))
)"),19)</f>
        <v>19</v>
      </c>
      <c r="L402" s="36"/>
      <c r="M402" s="36"/>
      <c r="N402" s="36"/>
    </row>
    <row r="403" spans="1:14" ht="15" x14ac:dyDescent="0.25">
      <c r="A403" s="33" t="s">
        <v>167</v>
      </c>
      <c r="B403" s="34">
        <v>45796</v>
      </c>
      <c r="C403" s="35" t="str">
        <f t="shared" si="13"/>
        <v>05-2025</v>
      </c>
      <c r="D403" s="36" t="s">
        <v>28</v>
      </c>
      <c r="E403" s="36" t="s">
        <v>45</v>
      </c>
      <c r="F403" s="37">
        <v>494.82</v>
      </c>
      <c r="G403" s="36" t="s">
        <v>22</v>
      </c>
      <c r="H403" s="37">
        <f t="shared" si="1"/>
        <v>1</v>
      </c>
      <c r="I403" s="37">
        <f t="shared" si="14"/>
        <v>5</v>
      </c>
      <c r="J403" s="37" t="str">
        <f>IF(COUNTIF($A$2:A403,A403)=1,"New","Repeat")</f>
        <v>Repeat</v>
      </c>
      <c r="K403" s="37">
        <f ca="1">IFERROR(__xludf.DUMMYFUNCTION("IF(I403=""4+"",
   COUNTUNIQUE(FILTER(A:A, I:I&gt;=4)),
   COUNTUNIQUE(FILTER(A:A, I:I=I403))
)"),34)</f>
        <v>34</v>
      </c>
      <c r="L403" s="36"/>
      <c r="M403" s="36"/>
      <c r="N403" s="36"/>
    </row>
    <row r="404" spans="1:14" ht="15" x14ac:dyDescent="0.25">
      <c r="A404" s="33" t="s">
        <v>84</v>
      </c>
      <c r="B404" s="34">
        <v>46064</v>
      </c>
      <c r="C404" s="35" t="str">
        <f t="shared" si="13"/>
        <v>02-2026</v>
      </c>
      <c r="D404" s="36" t="s">
        <v>14</v>
      </c>
      <c r="E404" s="36" t="s">
        <v>59</v>
      </c>
      <c r="F404" s="37">
        <v>128.52000000000001</v>
      </c>
      <c r="G404" s="36" t="s">
        <v>30</v>
      </c>
      <c r="H404" s="37">
        <f t="shared" si="1"/>
        <v>1</v>
      </c>
      <c r="I404" s="37">
        <f t="shared" si="14"/>
        <v>5</v>
      </c>
      <c r="J404" s="37" t="str">
        <f>IF(COUNTIF($A$2:A404,A404)=1,"New","Repeat")</f>
        <v>Repeat</v>
      </c>
      <c r="K404" s="37">
        <f ca="1">IFERROR(__xludf.DUMMYFUNCTION("IF(I404=""4+"",
   COUNTUNIQUE(FILTER(A:A, I:I&gt;=4)),
   COUNTUNIQUE(FILTER(A:A, I:I=I404))
)"),34)</f>
        <v>34</v>
      </c>
      <c r="L404" s="36"/>
      <c r="M404" s="36"/>
      <c r="N404" s="36"/>
    </row>
    <row r="405" spans="1:14" ht="15" x14ac:dyDescent="0.25">
      <c r="A405" s="33" t="s">
        <v>84</v>
      </c>
      <c r="B405" s="34">
        <v>45937</v>
      </c>
      <c r="C405" s="35" t="str">
        <f t="shared" si="13"/>
        <v>10-2025</v>
      </c>
      <c r="D405" s="36" t="s">
        <v>18</v>
      </c>
      <c r="E405" s="36" t="s">
        <v>19</v>
      </c>
      <c r="F405" s="37">
        <v>347.24</v>
      </c>
      <c r="G405" s="36" t="s">
        <v>30</v>
      </c>
      <c r="H405" s="37">
        <f t="shared" si="1"/>
        <v>1</v>
      </c>
      <c r="I405" s="37">
        <f t="shared" si="14"/>
        <v>5</v>
      </c>
      <c r="J405" s="37" t="str">
        <f>IF(COUNTIF($A$2:A405,A405)=1,"New","Repeat")</f>
        <v>Repeat</v>
      </c>
      <c r="K405" s="37">
        <f ca="1">IFERROR(__xludf.DUMMYFUNCTION("IF(I405=""4+"",
   COUNTUNIQUE(FILTER(A:A, I:I&gt;=4)),
   COUNTUNIQUE(FILTER(A:A, I:I=I405))
)"),34)</f>
        <v>34</v>
      </c>
      <c r="L405" s="36"/>
      <c r="M405" s="36"/>
      <c r="N405" s="36"/>
    </row>
    <row r="406" spans="1:14" ht="15" x14ac:dyDescent="0.25">
      <c r="A406" s="33" t="s">
        <v>114</v>
      </c>
      <c r="B406" s="34">
        <v>46055</v>
      </c>
      <c r="C406" s="35" t="str">
        <f t="shared" si="13"/>
        <v>02-2026</v>
      </c>
      <c r="D406" s="36" t="s">
        <v>35</v>
      </c>
      <c r="E406" s="36" t="s">
        <v>58</v>
      </c>
      <c r="F406" s="37">
        <v>298.57</v>
      </c>
      <c r="G406" s="36" t="s">
        <v>22</v>
      </c>
      <c r="H406" s="37">
        <f t="shared" si="1"/>
        <v>1</v>
      </c>
      <c r="I406" s="37">
        <f t="shared" si="14"/>
        <v>3</v>
      </c>
      <c r="J406" s="37" t="str">
        <f>IF(COUNTIF($A$2:A406,A406)=1,"New","Repeat")</f>
        <v>Repeat</v>
      </c>
      <c r="K406" s="37">
        <f ca="1">IFERROR(__xludf.DUMMYFUNCTION("IF(I406=""4+"",
   COUNTUNIQUE(FILTER(A:A, I:I&gt;=4)),
   COUNTUNIQUE(FILTER(A:A, I:I=I406))
)"),42)</f>
        <v>42</v>
      </c>
      <c r="L406" s="36"/>
      <c r="M406" s="36"/>
      <c r="N406" s="36"/>
    </row>
    <row r="407" spans="1:14" ht="15" x14ac:dyDescent="0.25">
      <c r="A407" s="33" t="s">
        <v>130</v>
      </c>
      <c r="B407" s="34">
        <v>45827</v>
      </c>
      <c r="C407" s="35" t="str">
        <f t="shared" si="13"/>
        <v>06-2025</v>
      </c>
      <c r="D407" s="36" t="s">
        <v>18</v>
      </c>
      <c r="E407" s="36" t="s">
        <v>24</v>
      </c>
      <c r="F407" s="37">
        <v>89.82</v>
      </c>
      <c r="G407" s="36" t="s">
        <v>30</v>
      </c>
      <c r="H407" s="37">
        <f t="shared" si="1"/>
        <v>1</v>
      </c>
      <c r="I407" s="37">
        <f t="shared" si="14"/>
        <v>5</v>
      </c>
      <c r="J407" s="37" t="str">
        <f>IF(COUNTIF($A$2:A407,A407)=1,"New","Repeat")</f>
        <v>Repeat</v>
      </c>
      <c r="K407" s="37">
        <f ca="1">IFERROR(__xludf.DUMMYFUNCTION("IF(I407=""4+"",
   COUNTUNIQUE(FILTER(A:A, I:I&gt;=4)),
   COUNTUNIQUE(FILTER(A:A, I:I=I407))
)"),34)</f>
        <v>34</v>
      </c>
      <c r="L407" s="36"/>
      <c r="M407" s="36"/>
      <c r="N407" s="36"/>
    </row>
    <row r="408" spans="1:14" ht="15" x14ac:dyDescent="0.25">
      <c r="A408" s="33" t="s">
        <v>216</v>
      </c>
      <c r="B408" s="34">
        <v>45997</v>
      </c>
      <c r="C408" s="35" t="str">
        <f t="shared" si="13"/>
        <v>12-2025</v>
      </c>
      <c r="D408" s="36" t="s">
        <v>51</v>
      </c>
      <c r="E408" s="36" t="s">
        <v>145</v>
      </c>
      <c r="F408" s="37">
        <v>91.86</v>
      </c>
      <c r="G408" s="36" t="s">
        <v>30</v>
      </c>
      <c r="H408" s="37">
        <f t="shared" si="1"/>
        <v>1</v>
      </c>
      <c r="I408" s="37">
        <f t="shared" si="14"/>
        <v>6</v>
      </c>
      <c r="J408" s="37" t="str">
        <f>IF(COUNTIF($A$2:A408,A408)=1,"New","Repeat")</f>
        <v>New</v>
      </c>
      <c r="K408" s="37">
        <f ca="1">IFERROR(__xludf.DUMMYFUNCTION("IF(I408=""4+"",
   COUNTUNIQUE(FILTER(A:A, I:I&gt;=4)),
   COUNTUNIQUE(FILTER(A:A, I:I=I408))
)"),19)</f>
        <v>19</v>
      </c>
      <c r="L408" s="36"/>
      <c r="M408" s="36"/>
      <c r="N408" s="36"/>
    </row>
    <row r="409" spans="1:14" ht="15" x14ac:dyDescent="0.25">
      <c r="A409" s="33" t="s">
        <v>217</v>
      </c>
      <c r="B409" s="39">
        <v>45984</v>
      </c>
      <c r="C409" s="35" t="str">
        <f t="shared" si="13"/>
        <v>11-2025</v>
      </c>
      <c r="D409" s="36" t="s">
        <v>51</v>
      </c>
      <c r="E409" s="36" t="s">
        <v>52</v>
      </c>
      <c r="F409" s="37">
        <v>163.26</v>
      </c>
      <c r="G409" s="36" t="s">
        <v>70</v>
      </c>
      <c r="H409" s="37">
        <f t="shared" si="1"/>
        <v>1</v>
      </c>
      <c r="I409" s="37">
        <f t="shared" si="14"/>
        <v>2</v>
      </c>
      <c r="J409" s="37" t="str">
        <f>IF(COUNTIF($A$2:A409,A409)=1,"New","Repeat")</f>
        <v>New</v>
      </c>
      <c r="K409" s="37">
        <f ca="1">IFERROR(__xludf.DUMMYFUNCTION("IF(I409=""4+"",
   COUNTUNIQUE(FILTER(A:A, I:I&gt;=4)),
   COUNTUNIQUE(FILTER(A:A, I:I=I409))
)"),37)</f>
        <v>37</v>
      </c>
      <c r="L409" s="36"/>
      <c r="M409" s="36"/>
      <c r="N409" s="36"/>
    </row>
    <row r="410" spans="1:14" ht="15" x14ac:dyDescent="0.25">
      <c r="A410" s="33" t="s">
        <v>218</v>
      </c>
      <c r="B410" s="39">
        <v>45943</v>
      </c>
      <c r="C410" s="35" t="str">
        <f t="shared" si="13"/>
        <v>10-2025</v>
      </c>
      <c r="D410" s="36" t="s">
        <v>28</v>
      </c>
      <c r="E410" s="36" t="s">
        <v>43</v>
      </c>
      <c r="F410" s="37">
        <v>478.95</v>
      </c>
      <c r="G410" s="36" t="s">
        <v>16</v>
      </c>
      <c r="H410" s="37">
        <f t="shared" si="1"/>
        <v>1</v>
      </c>
      <c r="I410" s="37">
        <f t="shared" si="14"/>
        <v>4</v>
      </c>
      <c r="J410" s="37" t="str">
        <f>IF(COUNTIF($A$2:A410,A410)=1,"New","Repeat")</f>
        <v>New</v>
      </c>
      <c r="K410" s="37">
        <f ca="1">IFERROR(__xludf.DUMMYFUNCTION("IF(I410=""4+"",
   COUNTUNIQUE(FILTER(A:A, I:I&gt;=4)),
   COUNTUNIQUE(FILTER(A:A, I:I=I410))
)"),32)</f>
        <v>32</v>
      </c>
      <c r="L410" s="36"/>
      <c r="M410" s="36"/>
      <c r="N410" s="36"/>
    </row>
    <row r="411" spans="1:14" ht="15" x14ac:dyDescent="0.25">
      <c r="A411" s="33" t="s">
        <v>200</v>
      </c>
      <c r="B411" s="34">
        <v>46042</v>
      </c>
      <c r="C411" s="35" t="str">
        <f t="shared" si="13"/>
        <v>01-2026</v>
      </c>
      <c r="D411" s="36" t="s">
        <v>28</v>
      </c>
      <c r="E411" s="36" t="s">
        <v>29</v>
      </c>
      <c r="F411" s="37">
        <v>127.65</v>
      </c>
      <c r="G411" s="36" t="s">
        <v>33</v>
      </c>
      <c r="H411" s="37">
        <f t="shared" si="1"/>
        <v>1</v>
      </c>
      <c r="I411" s="37">
        <f t="shared" si="14"/>
        <v>6</v>
      </c>
      <c r="J411" s="37" t="str">
        <f>IF(COUNTIF($A$2:A411,A411)=1,"New","Repeat")</f>
        <v>Repeat</v>
      </c>
      <c r="K411" s="37">
        <f ca="1">IFERROR(__xludf.DUMMYFUNCTION("IF(I411=""4+"",
   COUNTUNIQUE(FILTER(A:A, I:I&gt;=4)),
   COUNTUNIQUE(FILTER(A:A, I:I=I411))
)"),19)</f>
        <v>19</v>
      </c>
      <c r="L411" s="36"/>
      <c r="M411" s="36"/>
      <c r="N411" s="36"/>
    </row>
    <row r="412" spans="1:14" ht="15" x14ac:dyDescent="0.25">
      <c r="A412" s="33" t="s">
        <v>218</v>
      </c>
      <c r="B412" s="34">
        <v>45838</v>
      </c>
      <c r="C412" s="35" t="str">
        <f t="shared" si="13"/>
        <v>06-2025</v>
      </c>
      <c r="D412" s="36" t="s">
        <v>35</v>
      </c>
      <c r="E412" s="36" t="s">
        <v>58</v>
      </c>
      <c r="F412" s="37">
        <v>124.64</v>
      </c>
      <c r="G412" s="36" t="s">
        <v>30</v>
      </c>
      <c r="H412" s="37">
        <f t="shared" si="1"/>
        <v>1</v>
      </c>
      <c r="I412" s="37">
        <f t="shared" si="14"/>
        <v>4</v>
      </c>
      <c r="J412" s="37" t="str">
        <f>IF(COUNTIF($A$2:A412,A412)=1,"New","Repeat")</f>
        <v>Repeat</v>
      </c>
      <c r="K412" s="37">
        <f ca="1">IFERROR(__xludf.DUMMYFUNCTION("IF(I412=""4+"",
   COUNTUNIQUE(FILTER(A:A, I:I&gt;=4)),
   COUNTUNIQUE(FILTER(A:A, I:I=I412))
)"),32)</f>
        <v>32</v>
      </c>
      <c r="L412" s="36"/>
      <c r="M412" s="36"/>
      <c r="N412" s="36"/>
    </row>
    <row r="413" spans="1:14" ht="15" x14ac:dyDescent="0.25">
      <c r="A413" s="33" t="s">
        <v>171</v>
      </c>
      <c r="B413" s="39">
        <v>45943</v>
      </c>
      <c r="C413" s="35" t="str">
        <f t="shared" si="13"/>
        <v>10-2025</v>
      </c>
      <c r="D413" s="36" t="s">
        <v>35</v>
      </c>
      <c r="E413" s="36" t="s">
        <v>36</v>
      </c>
      <c r="F413" s="37">
        <v>363.25</v>
      </c>
      <c r="G413" s="36" t="s">
        <v>33</v>
      </c>
      <c r="H413" s="37">
        <f t="shared" si="1"/>
        <v>1</v>
      </c>
      <c r="I413" s="37">
        <f t="shared" si="14"/>
        <v>2</v>
      </c>
      <c r="J413" s="37" t="str">
        <f>IF(COUNTIF($A$2:A413,A413)=1,"New","Repeat")</f>
        <v>Repeat</v>
      </c>
      <c r="K413" s="37">
        <f ca="1">IFERROR(__xludf.DUMMYFUNCTION("IF(I413=""4+"",
   COUNTUNIQUE(FILTER(A:A, I:I&gt;=4)),
   COUNTUNIQUE(FILTER(A:A, I:I=I413))
)"),37)</f>
        <v>37</v>
      </c>
      <c r="L413" s="36"/>
      <c r="M413" s="36"/>
      <c r="N413" s="36"/>
    </row>
    <row r="414" spans="1:14" ht="15" x14ac:dyDescent="0.25">
      <c r="A414" s="33" t="s">
        <v>219</v>
      </c>
      <c r="B414" s="34">
        <v>45791</v>
      </c>
      <c r="C414" s="35" t="str">
        <f t="shared" si="13"/>
        <v>05-2025</v>
      </c>
      <c r="D414" s="36" t="s">
        <v>51</v>
      </c>
      <c r="E414" s="36" t="s">
        <v>52</v>
      </c>
      <c r="F414" s="37">
        <v>300.17</v>
      </c>
      <c r="G414" s="36" t="s">
        <v>33</v>
      </c>
      <c r="H414" s="37">
        <f t="shared" si="1"/>
        <v>1</v>
      </c>
      <c r="I414" s="37">
        <f t="shared" si="14"/>
        <v>2</v>
      </c>
      <c r="J414" s="37" t="str">
        <f>IF(COUNTIF($A$2:A414,A414)=1,"New","Repeat")</f>
        <v>New</v>
      </c>
      <c r="K414" s="37">
        <f ca="1">IFERROR(__xludf.DUMMYFUNCTION("IF(I414=""4+"",
   COUNTUNIQUE(FILTER(A:A, I:I&gt;=4)),
   COUNTUNIQUE(FILTER(A:A, I:I=I414))
)"),37)</f>
        <v>37</v>
      </c>
      <c r="L414" s="36"/>
      <c r="M414" s="36"/>
      <c r="N414" s="36"/>
    </row>
    <row r="415" spans="1:14" ht="15" x14ac:dyDescent="0.25">
      <c r="A415" s="33" t="s">
        <v>172</v>
      </c>
      <c r="B415" s="34">
        <v>45876</v>
      </c>
      <c r="C415" s="35" t="str">
        <f t="shared" si="13"/>
        <v>08-2025</v>
      </c>
      <c r="D415" s="36" t="s">
        <v>18</v>
      </c>
      <c r="E415" s="36" t="s">
        <v>24</v>
      </c>
      <c r="F415" s="37">
        <v>92.23</v>
      </c>
      <c r="G415" s="36" t="s">
        <v>33</v>
      </c>
      <c r="H415" s="37">
        <f t="shared" si="1"/>
        <v>1</v>
      </c>
      <c r="I415" s="37">
        <f t="shared" si="14"/>
        <v>3</v>
      </c>
      <c r="J415" s="37" t="str">
        <f>IF(COUNTIF($A$2:A415,A415)=1,"New","Repeat")</f>
        <v>Repeat</v>
      </c>
      <c r="K415" s="37">
        <f ca="1">IFERROR(__xludf.DUMMYFUNCTION("IF(I415=""4+"",
   COUNTUNIQUE(FILTER(A:A, I:I&gt;=4)),
   COUNTUNIQUE(FILTER(A:A, I:I=I415))
)"),42)</f>
        <v>42</v>
      </c>
      <c r="L415" s="36"/>
      <c r="M415" s="36"/>
      <c r="N415" s="36"/>
    </row>
    <row r="416" spans="1:14" ht="15" x14ac:dyDescent="0.25">
      <c r="A416" s="33" t="s">
        <v>162</v>
      </c>
      <c r="B416" s="34">
        <v>45838</v>
      </c>
      <c r="C416" s="35" t="str">
        <f t="shared" si="13"/>
        <v>06-2025</v>
      </c>
      <c r="D416" s="36" t="s">
        <v>35</v>
      </c>
      <c r="E416" s="36" t="s">
        <v>58</v>
      </c>
      <c r="F416" s="37">
        <v>26.34</v>
      </c>
      <c r="G416" s="36" t="s">
        <v>37</v>
      </c>
      <c r="H416" s="37">
        <f t="shared" si="1"/>
        <v>1</v>
      </c>
      <c r="I416" s="37">
        <f t="shared" si="14"/>
        <v>5</v>
      </c>
      <c r="J416" s="37" t="str">
        <f>IF(COUNTIF($A$2:A416,A416)=1,"New","Repeat")</f>
        <v>Repeat</v>
      </c>
      <c r="K416" s="37">
        <f ca="1">IFERROR(__xludf.DUMMYFUNCTION("IF(I416=""4+"",
   COUNTUNIQUE(FILTER(A:A, I:I&gt;=4)),
   COUNTUNIQUE(FILTER(A:A, I:I=I416))
)"),34)</f>
        <v>34</v>
      </c>
      <c r="L416" s="36"/>
      <c r="M416" s="36"/>
      <c r="N416" s="36"/>
    </row>
    <row r="417" spans="1:14" ht="15" x14ac:dyDescent="0.25">
      <c r="A417" s="33" t="s">
        <v>152</v>
      </c>
      <c r="B417" s="34">
        <v>45848</v>
      </c>
      <c r="C417" s="35" t="str">
        <f t="shared" si="13"/>
        <v>07-2025</v>
      </c>
      <c r="D417" s="36" t="s">
        <v>35</v>
      </c>
      <c r="E417" s="36" t="s">
        <v>39</v>
      </c>
      <c r="F417" s="37">
        <v>158.27000000000001</v>
      </c>
      <c r="G417" s="36" t="s">
        <v>16</v>
      </c>
      <c r="H417" s="37">
        <f t="shared" si="1"/>
        <v>1</v>
      </c>
      <c r="I417" s="37">
        <f t="shared" si="14"/>
        <v>5</v>
      </c>
      <c r="J417" s="37" t="str">
        <f>IF(COUNTIF($A$2:A417,A417)=1,"New","Repeat")</f>
        <v>Repeat</v>
      </c>
      <c r="K417" s="37">
        <f ca="1">IFERROR(__xludf.DUMMYFUNCTION("IF(I417=""4+"",
   COUNTUNIQUE(FILTER(A:A, I:I&gt;=4)),
   COUNTUNIQUE(FILTER(A:A, I:I=I417))
)"),34)</f>
        <v>34</v>
      </c>
      <c r="L417" s="36"/>
      <c r="M417" s="36"/>
      <c r="N417" s="36"/>
    </row>
    <row r="418" spans="1:14" ht="15" x14ac:dyDescent="0.25">
      <c r="A418" s="33" t="s">
        <v>220</v>
      </c>
      <c r="B418" s="39">
        <v>45975</v>
      </c>
      <c r="C418" s="35" t="str">
        <f t="shared" si="13"/>
        <v>11-2025</v>
      </c>
      <c r="D418" s="36" t="s">
        <v>28</v>
      </c>
      <c r="E418" s="36" t="s">
        <v>45</v>
      </c>
      <c r="F418" s="37">
        <v>315.02999999999997</v>
      </c>
      <c r="G418" s="36" t="s">
        <v>22</v>
      </c>
      <c r="H418" s="37">
        <f t="shared" si="1"/>
        <v>1</v>
      </c>
      <c r="I418" s="37">
        <f t="shared" si="14"/>
        <v>3</v>
      </c>
      <c r="J418" s="37" t="str">
        <f>IF(COUNTIF($A$2:A418,A418)=1,"New","Repeat")</f>
        <v>New</v>
      </c>
      <c r="K418" s="37">
        <f ca="1">IFERROR(__xludf.DUMMYFUNCTION("IF(I418=""4+"",
   COUNTUNIQUE(FILTER(A:A, I:I&gt;=4)),
   COUNTUNIQUE(FILTER(A:A, I:I=I418))
)"),42)</f>
        <v>42</v>
      </c>
      <c r="L418" s="36"/>
      <c r="M418" s="36"/>
      <c r="N418" s="36"/>
    </row>
    <row r="419" spans="1:14" ht="15" x14ac:dyDescent="0.25">
      <c r="A419" s="33" t="s">
        <v>67</v>
      </c>
      <c r="B419" s="34">
        <v>45805</v>
      </c>
      <c r="C419" s="35" t="str">
        <f t="shared" si="13"/>
        <v>05-2025</v>
      </c>
      <c r="D419" s="36" t="s">
        <v>14</v>
      </c>
      <c r="E419" s="36" t="s">
        <v>41</v>
      </c>
      <c r="F419" s="37">
        <v>205.01</v>
      </c>
      <c r="G419" s="36" t="s">
        <v>37</v>
      </c>
      <c r="H419" s="37">
        <f t="shared" si="1"/>
        <v>1</v>
      </c>
      <c r="I419" s="37">
        <f t="shared" si="14"/>
        <v>7</v>
      </c>
      <c r="J419" s="37" t="str">
        <f>IF(COUNTIF($A$2:A419,A419)=1,"New","Repeat")</f>
        <v>Repeat</v>
      </c>
      <c r="K419" s="37">
        <f ca="1">IFERROR(__xludf.DUMMYFUNCTION("IF(I419=""4+"",
   COUNTUNIQUE(FILTER(A:A, I:I&gt;=4)),
   COUNTUNIQUE(FILTER(A:A, I:I=I419))
)"),4)</f>
        <v>4</v>
      </c>
      <c r="L419" s="36"/>
      <c r="M419" s="36"/>
      <c r="N419" s="36"/>
    </row>
    <row r="420" spans="1:14" ht="15" x14ac:dyDescent="0.25">
      <c r="A420" s="33" t="s">
        <v>121</v>
      </c>
      <c r="B420" s="34">
        <v>45803</v>
      </c>
      <c r="C420" s="35" t="str">
        <f t="shared" si="13"/>
        <v>05-2025</v>
      </c>
      <c r="D420" s="36" t="s">
        <v>14</v>
      </c>
      <c r="E420" s="36" t="s">
        <v>32</v>
      </c>
      <c r="F420" s="37">
        <v>149.5</v>
      </c>
      <c r="G420" s="36" t="s">
        <v>22</v>
      </c>
      <c r="H420" s="37">
        <f t="shared" si="1"/>
        <v>1</v>
      </c>
      <c r="I420" s="37">
        <f t="shared" si="14"/>
        <v>5</v>
      </c>
      <c r="J420" s="37" t="str">
        <f>IF(COUNTIF($A$2:A420,A420)=1,"New","Repeat")</f>
        <v>Repeat</v>
      </c>
      <c r="K420" s="37">
        <f ca="1">IFERROR(__xludf.DUMMYFUNCTION("IF(I420=""4+"",
   COUNTUNIQUE(FILTER(A:A, I:I&gt;=4)),
   COUNTUNIQUE(FILTER(A:A, I:I=I420))
)"),34)</f>
        <v>34</v>
      </c>
      <c r="L420" s="36"/>
      <c r="M420" s="36"/>
      <c r="N420" s="36"/>
    </row>
    <row r="421" spans="1:14" ht="15" x14ac:dyDescent="0.25">
      <c r="A421" s="33" t="s">
        <v>155</v>
      </c>
      <c r="B421" s="34">
        <v>45925</v>
      </c>
      <c r="C421" s="35" t="str">
        <f t="shared" si="13"/>
        <v>09-2025</v>
      </c>
      <c r="D421" s="36" t="s">
        <v>51</v>
      </c>
      <c r="E421" s="36" t="s">
        <v>101</v>
      </c>
      <c r="F421" s="37">
        <v>116.99</v>
      </c>
      <c r="G421" s="36" t="s">
        <v>30</v>
      </c>
      <c r="H421" s="37">
        <f t="shared" si="1"/>
        <v>1</v>
      </c>
      <c r="I421" s="37">
        <f t="shared" si="14"/>
        <v>2</v>
      </c>
      <c r="J421" s="37" t="str">
        <f>IF(COUNTIF($A$2:A421,A421)=1,"New","Repeat")</f>
        <v>Repeat</v>
      </c>
      <c r="K421" s="37">
        <f ca="1">IFERROR(__xludf.DUMMYFUNCTION("IF(I421=""4+"",
   COUNTUNIQUE(FILTER(A:A, I:I&gt;=4)),
   COUNTUNIQUE(FILTER(A:A, I:I=I421))
)"),37)</f>
        <v>37</v>
      </c>
      <c r="L421" s="36"/>
      <c r="M421" s="36"/>
      <c r="N421" s="36"/>
    </row>
    <row r="422" spans="1:14" ht="15" x14ac:dyDescent="0.25">
      <c r="A422" s="33" t="s">
        <v>50</v>
      </c>
      <c r="B422" s="34">
        <v>45897</v>
      </c>
      <c r="C422" s="35" t="str">
        <f t="shared" si="13"/>
        <v>08-2025</v>
      </c>
      <c r="D422" s="36" t="s">
        <v>18</v>
      </c>
      <c r="E422" s="36" t="s">
        <v>19</v>
      </c>
      <c r="F422" s="37">
        <v>162.31</v>
      </c>
      <c r="G422" s="36" t="s">
        <v>22</v>
      </c>
      <c r="H422" s="37">
        <f t="shared" si="1"/>
        <v>1</v>
      </c>
      <c r="I422" s="37">
        <f t="shared" si="14"/>
        <v>8</v>
      </c>
      <c r="J422" s="37" t="str">
        <f>IF(COUNTIF($A$2:A422,A422)=1,"New","Repeat")</f>
        <v>Repeat</v>
      </c>
      <c r="K422" s="37">
        <f ca="1">IFERROR(__xludf.DUMMYFUNCTION("IF(I422=""4+"",
   COUNTUNIQUE(FILTER(A:A, I:I&gt;=4)),
   COUNTUNIQUE(FILTER(A:A, I:I=I422))
)"),1)</f>
        <v>1</v>
      </c>
      <c r="L422" s="36"/>
      <c r="M422" s="36"/>
      <c r="N422" s="36"/>
    </row>
    <row r="423" spans="1:14" ht="15" x14ac:dyDescent="0.25">
      <c r="A423" s="33" t="s">
        <v>166</v>
      </c>
      <c r="B423" s="39">
        <v>45971</v>
      </c>
      <c r="C423" s="35" t="str">
        <f t="shared" si="13"/>
        <v>11-2025</v>
      </c>
      <c r="D423" s="36" t="s">
        <v>14</v>
      </c>
      <c r="E423" s="36" t="s">
        <v>41</v>
      </c>
      <c r="F423" s="37">
        <v>187.56</v>
      </c>
      <c r="G423" s="36" t="s">
        <v>70</v>
      </c>
      <c r="H423" s="37">
        <f t="shared" si="1"/>
        <v>1</v>
      </c>
      <c r="I423" s="37">
        <f t="shared" si="14"/>
        <v>6</v>
      </c>
      <c r="J423" s="37" t="str">
        <f>IF(COUNTIF($A$2:A423,A423)=1,"New","Repeat")</f>
        <v>Repeat</v>
      </c>
      <c r="K423" s="37">
        <f ca="1">IFERROR(__xludf.DUMMYFUNCTION("IF(I423=""4+"",
   COUNTUNIQUE(FILTER(A:A, I:I&gt;=4)),
   COUNTUNIQUE(FILTER(A:A, I:I=I423))
)"),19)</f>
        <v>19</v>
      </c>
      <c r="L423" s="36"/>
      <c r="M423" s="36"/>
      <c r="N423" s="36"/>
    </row>
    <row r="424" spans="1:14" ht="15" x14ac:dyDescent="0.25">
      <c r="A424" s="33" t="s">
        <v>221</v>
      </c>
      <c r="B424" s="34">
        <v>45771</v>
      </c>
      <c r="C424" s="35" t="str">
        <f t="shared" si="13"/>
        <v>04-2025</v>
      </c>
      <c r="D424" s="36" t="s">
        <v>14</v>
      </c>
      <c r="E424" s="36" t="s">
        <v>15</v>
      </c>
      <c r="F424" s="37">
        <v>401.3</v>
      </c>
      <c r="G424" s="36" t="s">
        <v>25</v>
      </c>
      <c r="H424" s="37">
        <f t="shared" si="1"/>
        <v>0</v>
      </c>
      <c r="I424" s="37">
        <f t="shared" si="14"/>
        <v>1</v>
      </c>
      <c r="J424" s="37" t="str">
        <f>IF(COUNTIF($A$2:A424,A424)=1,"New","Repeat")</f>
        <v>New</v>
      </c>
      <c r="K424" s="37">
        <f ca="1">IFERROR(__xludf.DUMMYFUNCTION("IF(I424=""4+"",
   COUNTUNIQUE(FILTER(A:A, I:I&gt;=4)),
   COUNTUNIQUE(FILTER(A:A, I:I=I424))
)"),24)</f>
        <v>24</v>
      </c>
      <c r="L424" s="36"/>
      <c r="M424" s="36"/>
      <c r="N424" s="36"/>
    </row>
    <row r="425" spans="1:14" ht="15" x14ac:dyDescent="0.25">
      <c r="A425" s="33" t="s">
        <v>192</v>
      </c>
      <c r="B425" s="39">
        <v>45984</v>
      </c>
      <c r="C425" s="35" t="str">
        <f t="shared" si="13"/>
        <v>11-2025</v>
      </c>
      <c r="D425" s="36" t="s">
        <v>14</v>
      </c>
      <c r="E425" s="36" t="s">
        <v>96</v>
      </c>
      <c r="F425" s="37">
        <v>200.04</v>
      </c>
      <c r="G425" s="36" t="s">
        <v>33</v>
      </c>
      <c r="H425" s="37">
        <f t="shared" si="1"/>
        <v>1</v>
      </c>
      <c r="I425" s="37">
        <f t="shared" si="14"/>
        <v>5</v>
      </c>
      <c r="J425" s="37" t="str">
        <f>IF(COUNTIF($A$2:A425,A425)=1,"New","Repeat")</f>
        <v>Repeat</v>
      </c>
      <c r="K425" s="37">
        <f ca="1">IFERROR(__xludf.DUMMYFUNCTION("IF(I425=""4+"",
   COUNTUNIQUE(FILTER(A:A, I:I&gt;=4)),
   COUNTUNIQUE(FILTER(A:A, I:I=I425))
)"),34)</f>
        <v>34</v>
      </c>
      <c r="L425" s="36"/>
      <c r="M425" s="36"/>
      <c r="N425" s="36"/>
    </row>
    <row r="426" spans="1:14" ht="15" x14ac:dyDescent="0.25">
      <c r="A426" s="33" t="s">
        <v>222</v>
      </c>
      <c r="B426" s="34">
        <v>46045</v>
      </c>
      <c r="C426" s="35" t="str">
        <f t="shared" si="13"/>
        <v>01-2026</v>
      </c>
      <c r="D426" s="36" t="s">
        <v>51</v>
      </c>
      <c r="E426" s="36" t="s">
        <v>68</v>
      </c>
      <c r="F426" s="37">
        <v>451.19</v>
      </c>
      <c r="G426" s="36" t="s">
        <v>70</v>
      </c>
      <c r="H426" s="37">
        <f t="shared" si="1"/>
        <v>0</v>
      </c>
      <c r="I426" s="37">
        <f t="shared" si="14"/>
        <v>1</v>
      </c>
      <c r="J426" s="37" t="str">
        <f>IF(COUNTIF($A$2:A426,A426)=1,"New","Repeat")</f>
        <v>New</v>
      </c>
      <c r="K426" s="37">
        <f ca="1">IFERROR(__xludf.DUMMYFUNCTION("IF(I426=""4+"",
   COUNTUNIQUE(FILTER(A:A, I:I&gt;=4)),
   COUNTUNIQUE(FILTER(A:A, I:I=I426))
)"),24)</f>
        <v>24</v>
      </c>
      <c r="L426" s="36"/>
      <c r="M426" s="36"/>
      <c r="N426" s="36"/>
    </row>
    <row r="427" spans="1:14" ht="15" x14ac:dyDescent="0.25">
      <c r="A427" s="33" t="s">
        <v>223</v>
      </c>
      <c r="B427" s="34">
        <v>45886</v>
      </c>
      <c r="C427" s="35" t="str">
        <f t="shared" si="13"/>
        <v>08-2025</v>
      </c>
      <c r="D427" s="36" t="s">
        <v>18</v>
      </c>
      <c r="E427" s="36" t="s">
        <v>65</v>
      </c>
      <c r="F427" s="37">
        <v>104.67</v>
      </c>
      <c r="G427" s="36" t="s">
        <v>22</v>
      </c>
      <c r="H427" s="37">
        <f t="shared" si="1"/>
        <v>0</v>
      </c>
      <c r="I427" s="37">
        <f t="shared" si="14"/>
        <v>1</v>
      </c>
      <c r="J427" s="37" t="str">
        <f>IF(COUNTIF($A$2:A427,A427)=1,"New","Repeat")</f>
        <v>New</v>
      </c>
      <c r="K427" s="37">
        <f ca="1">IFERROR(__xludf.DUMMYFUNCTION("IF(I427=""4+"",
   COUNTUNIQUE(FILTER(A:A, I:I&gt;=4)),
   COUNTUNIQUE(FILTER(A:A, I:I=I427))
)"),24)</f>
        <v>24</v>
      </c>
      <c r="L427" s="36"/>
      <c r="M427" s="36"/>
      <c r="N427" s="36"/>
    </row>
    <row r="428" spans="1:14" ht="15" x14ac:dyDescent="0.25">
      <c r="A428" s="33" t="s">
        <v>200</v>
      </c>
      <c r="B428" s="34">
        <v>45764</v>
      </c>
      <c r="C428" s="35" t="str">
        <f t="shared" si="13"/>
        <v>04-2025</v>
      </c>
      <c r="D428" s="36" t="s">
        <v>18</v>
      </c>
      <c r="E428" s="36" t="s">
        <v>21</v>
      </c>
      <c r="F428" s="37">
        <v>400.16</v>
      </c>
      <c r="G428" s="36" t="s">
        <v>22</v>
      </c>
      <c r="H428" s="37">
        <f t="shared" si="1"/>
        <v>1</v>
      </c>
      <c r="I428" s="37">
        <f t="shared" si="14"/>
        <v>6</v>
      </c>
      <c r="J428" s="37" t="str">
        <f>IF(COUNTIF($A$2:A428,A428)=1,"New","Repeat")</f>
        <v>Repeat</v>
      </c>
      <c r="K428" s="37">
        <f ca="1">IFERROR(__xludf.DUMMYFUNCTION("IF(I428=""4+"",
   COUNTUNIQUE(FILTER(A:A, I:I&gt;=4)),
   COUNTUNIQUE(FILTER(A:A, I:I=I428))
)"),19)</f>
        <v>19</v>
      </c>
      <c r="L428" s="36"/>
      <c r="M428" s="36"/>
      <c r="N428" s="36"/>
    </row>
    <row r="429" spans="1:14" ht="15" x14ac:dyDescent="0.25">
      <c r="A429" s="33" t="s">
        <v>151</v>
      </c>
      <c r="B429" s="34">
        <v>45998</v>
      </c>
      <c r="C429" s="35" t="str">
        <f t="shared" si="13"/>
        <v>12-2025</v>
      </c>
      <c r="D429" s="36" t="s">
        <v>14</v>
      </c>
      <c r="E429" s="36" t="s">
        <v>32</v>
      </c>
      <c r="F429" s="37">
        <v>435.35</v>
      </c>
      <c r="G429" s="36" t="s">
        <v>70</v>
      </c>
      <c r="H429" s="37">
        <f t="shared" si="1"/>
        <v>1</v>
      </c>
      <c r="I429" s="37">
        <f t="shared" si="14"/>
        <v>5</v>
      </c>
      <c r="J429" s="37" t="str">
        <f>IF(COUNTIF($A$2:A429,A429)=1,"New","Repeat")</f>
        <v>Repeat</v>
      </c>
      <c r="K429" s="37">
        <f ca="1">IFERROR(__xludf.DUMMYFUNCTION("IF(I429=""4+"",
   COUNTUNIQUE(FILTER(A:A, I:I&gt;=4)),
   COUNTUNIQUE(FILTER(A:A, I:I=I429))
)"),34)</f>
        <v>34</v>
      </c>
      <c r="L429" s="36"/>
      <c r="M429" s="36"/>
      <c r="N429" s="36"/>
    </row>
    <row r="430" spans="1:14" ht="15" x14ac:dyDescent="0.25">
      <c r="A430" s="33" t="s">
        <v>88</v>
      </c>
      <c r="B430" s="34">
        <v>45716</v>
      </c>
      <c r="C430" s="35" t="str">
        <f t="shared" si="13"/>
        <v>02-2025</v>
      </c>
      <c r="D430" s="36" t="s">
        <v>28</v>
      </c>
      <c r="E430" s="36" t="s">
        <v>87</v>
      </c>
      <c r="F430" s="37">
        <v>212.95</v>
      </c>
      <c r="G430" s="36" t="s">
        <v>37</v>
      </c>
      <c r="H430" s="37">
        <f t="shared" si="1"/>
        <v>1</v>
      </c>
      <c r="I430" s="37">
        <f t="shared" si="14"/>
        <v>5</v>
      </c>
      <c r="J430" s="37" t="str">
        <f>IF(COUNTIF($A$2:A430,A430)=1,"New","Repeat")</f>
        <v>Repeat</v>
      </c>
      <c r="K430" s="37">
        <f ca="1">IFERROR(__xludf.DUMMYFUNCTION("IF(I430=""4+"",
   COUNTUNIQUE(FILTER(A:A, I:I&gt;=4)),
   COUNTUNIQUE(FILTER(A:A, I:I=I430))
)"),34)</f>
        <v>34</v>
      </c>
      <c r="L430" s="36"/>
      <c r="M430" s="36"/>
      <c r="N430" s="36"/>
    </row>
    <row r="431" spans="1:14" ht="15" x14ac:dyDescent="0.25">
      <c r="A431" s="33" t="s">
        <v>224</v>
      </c>
      <c r="B431" s="34">
        <v>45935</v>
      </c>
      <c r="C431" s="35" t="str">
        <f t="shared" si="13"/>
        <v>10-2025</v>
      </c>
      <c r="D431" s="36" t="s">
        <v>18</v>
      </c>
      <c r="E431" s="36" t="s">
        <v>47</v>
      </c>
      <c r="F431" s="37">
        <v>114.3</v>
      </c>
      <c r="G431" s="36" t="s">
        <v>22</v>
      </c>
      <c r="H431" s="37">
        <f t="shared" si="1"/>
        <v>1</v>
      </c>
      <c r="I431" s="37">
        <f t="shared" si="14"/>
        <v>2</v>
      </c>
      <c r="J431" s="37" t="str">
        <f>IF(COUNTIF($A$2:A431,A431)=1,"New","Repeat")</f>
        <v>New</v>
      </c>
      <c r="K431" s="37">
        <f ca="1">IFERROR(__xludf.DUMMYFUNCTION("IF(I431=""4+"",
   COUNTUNIQUE(FILTER(A:A, I:I&gt;=4)),
   COUNTUNIQUE(FILTER(A:A, I:I=I431))
)"),37)</f>
        <v>37</v>
      </c>
      <c r="L431" s="36"/>
      <c r="M431" s="36"/>
      <c r="N431" s="36"/>
    </row>
    <row r="432" spans="1:14" ht="15" x14ac:dyDescent="0.25">
      <c r="A432" s="33" t="s">
        <v>71</v>
      </c>
      <c r="B432" s="34">
        <v>45936</v>
      </c>
      <c r="C432" s="35" t="str">
        <f t="shared" si="13"/>
        <v>10-2025</v>
      </c>
      <c r="D432" s="36" t="s">
        <v>28</v>
      </c>
      <c r="E432" s="36" t="s">
        <v>45</v>
      </c>
      <c r="F432" s="37">
        <v>67.739999999999995</v>
      </c>
      <c r="G432" s="36" t="s">
        <v>30</v>
      </c>
      <c r="H432" s="37">
        <f t="shared" si="1"/>
        <v>1</v>
      </c>
      <c r="I432" s="37">
        <f t="shared" si="14"/>
        <v>7</v>
      </c>
      <c r="J432" s="37" t="str">
        <f>IF(COUNTIF($A$2:A432,A432)=1,"New","Repeat")</f>
        <v>Repeat</v>
      </c>
      <c r="K432" s="37">
        <f ca="1">IFERROR(__xludf.DUMMYFUNCTION("IF(I432=""4+"",
   COUNTUNIQUE(FILTER(A:A, I:I&gt;=4)),
   COUNTUNIQUE(FILTER(A:A, I:I=I432))
)"),4)</f>
        <v>4</v>
      </c>
      <c r="L432" s="36"/>
      <c r="M432" s="36"/>
      <c r="N432" s="36"/>
    </row>
    <row r="433" spans="1:14" ht="15" x14ac:dyDescent="0.25">
      <c r="A433" s="33" t="s">
        <v>195</v>
      </c>
      <c r="B433" s="34">
        <v>45809</v>
      </c>
      <c r="C433" s="35" t="str">
        <f t="shared" si="13"/>
        <v>06-2025</v>
      </c>
      <c r="D433" s="36" t="s">
        <v>14</v>
      </c>
      <c r="E433" s="36" t="s">
        <v>32</v>
      </c>
      <c r="F433" s="37">
        <v>130.01</v>
      </c>
      <c r="G433" s="36" t="s">
        <v>70</v>
      </c>
      <c r="H433" s="37">
        <f t="shared" si="1"/>
        <v>1</v>
      </c>
      <c r="I433" s="37">
        <f t="shared" si="14"/>
        <v>6</v>
      </c>
      <c r="J433" s="37" t="str">
        <f>IF(COUNTIF($A$2:A433,A433)=1,"New","Repeat")</f>
        <v>Repeat</v>
      </c>
      <c r="K433" s="37">
        <f ca="1">IFERROR(__xludf.DUMMYFUNCTION("IF(I433=""4+"",
   COUNTUNIQUE(FILTER(A:A, I:I&gt;=4)),
   COUNTUNIQUE(FILTER(A:A, I:I=I433))
)"),19)</f>
        <v>19</v>
      </c>
      <c r="L433" s="36"/>
      <c r="M433" s="36"/>
      <c r="N433" s="36"/>
    </row>
    <row r="434" spans="1:14" ht="15" x14ac:dyDescent="0.25">
      <c r="A434" s="33" t="s">
        <v>108</v>
      </c>
      <c r="B434" s="34">
        <v>45912</v>
      </c>
      <c r="C434" s="35" t="str">
        <f t="shared" si="13"/>
        <v>09-2025</v>
      </c>
      <c r="D434" s="36" t="s">
        <v>28</v>
      </c>
      <c r="E434" s="36" t="s">
        <v>29</v>
      </c>
      <c r="F434" s="37">
        <v>82.83</v>
      </c>
      <c r="G434" s="36" t="s">
        <v>16</v>
      </c>
      <c r="H434" s="37">
        <f t="shared" si="1"/>
        <v>1</v>
      </c>
      <c r="I434" s="37">
        <f t="shared" si="14"/>
        <v>4</v>
      </c>
      <c r="J434" s="37" t="str">
        <f>IF(COUNTIF($A$2:A434,A434)=1,"New","Repeat")</f>
        <v>Repeat</v>
      </c>
      <c r="K434" s="37">
        <f ca="1">IFERROR(__xludf.DUMMYFUNCTION("IF(I434=""4+"",
   COUNTUNIQUE(FILTER(A:A, I:I&gt;=4)),
   COUNTUNIQUE(FILTER(A:A, I:I=I434))
)"),32)</f>
        <v>32</v>
      </c>
      <c r="L434" s="36"/>
      <c r="M434" s="36"/>
      <c r="N434" s="36"/>
    </row>
    <row r="435" spans="1:14" ht="15" x14ac:dyDescent="0.25">
      <c r="A435" s="33" t="s">
        <v>167</v>
      </c>
      <c r="B435" s="34">
        <v>45726</v>
      </c>
      <c r="C435" s="35" t="str">
        <f t="shared" si="13"/>
        <v>03-2025</v>
      </c>
      <c r="D435" s="36" t="s">
        <v>28</v>
      </c>
      <c r="E435" s="36" t="s">
        <v>87</v>
      </c>
      <c r="F435" s="37">
        <v>90.77</v>
      </c>
      <c r="G435" s="36" t="s">
        <v>33</v>
      </c>
      <c r="H435" s="37">
        <f t="shared" si="1"/>
        <v>1</v>
      </c>
      <c r="I435" s="37">
        <f t="shared" si="14"/>
        <v>5</v>
      </c>
      <c r="J435" s="37" t="str">
        <f>IF(COUNTIF($A$2:A435,A435)=1,"New","Repeat")</f>
        <v>Repeat</v>
      </c>
      <c r="K435" s="37">
        <f ca="1">IFERROR(__xludf.DUMMYFUNCTION("IF(I435=""4+"",
   COUNTUNIQUE(FILTER(A:A, I:I&gt;=4)),
   COUNTUNIQUE(FILTER(A:A, I:I=I435))
)"),34)</f>
        <v>34</v>
      </c>
      <c r="L435" s="36"/>
      <c r="M435" s="36"/>
      <c r="N435" s="36"/>
    </row>
    <row r="436" spans="1:14" ht="15" x14ac:dyDescent="0.25">
      <c r="A436" s="33" t="s">
        <v>143</v>
      </c>
      <c r="B436" s="39">
        <v>45955</v>
      </c>
      <c r="C436" s="35" t="str">
        <f t="shared" si="13"/>
        <v>10-2025</v>
      </c>
      <c r="D436" s="36" t="s">
        <v>35</v>
      </c>
      <c r="E436" s="36" t="s">
        <v>39</v>
      </c>
      <c r="F436" s="37">
        <v>250.67</v>
      </c>
      <c r="G436" s="36" t="s">
        <v>33</v>
      </c>
      <c r="H436" s="37">
        <f t="shared" si="1"/>
        <v>1</v>
      </c>
      <c r="I436" s="37">
        <f t="shared" si="14"/>
        <v>3</v>
      </c>
      <c r="J436" s="37" t="str">
        <f>IF(COUNTIF($A$2:A436,A436)=1,"New","Repeat")</f>
        <v>Repeat</v>
      </c>
      <c r="K436" s="37">
        <f ca="1">IFERROR(__xludf.DUMMYFUNCTION("IF(I436=""4+"",
   COUNTUNIQUE(FILTER(A:A, I:I&gt;=4)),
   COUNTUNIQUE(FILTER(A:A, I:I=I436))
)"),42)</f>
        <v>42</v>
      </c>
      <c r="L436" s="36"/>
      <c r="M436" s="36"/>
      <c r="N436" s="36"/>
    </row>
    <row r="437" spans="1:14" ht="15" x14ac:dyDescent="0.25">
      <c r="A437" s="33" t="s">
        <v>126</v>
      </c>
      <c r="B437" s="34">
        <v>45886</v>
      </c>
      <c r="C437" s="35" t="str">
        <f t="shared" si="13"/>
        <v>08-2025</v>
      </c>
      <c r="D437" s="36" t="s">
        <v>18</v>
      </c>
      <c r="E437" s="36" t="s">
        <v>19</v>
      </c>
      <c r="F437" s="37">
        <v>454.68</v>
      </c>
      <c r="G437" s="36" t="s">
        <v>30</v>
      </c>
      <c r="H437" s="37">
        <f t="shared" si="1"/>
        <v>1</v>
      </c>
      <c r="I437" s="37">
        <f t="shared" si="14"/>
        <v>3</v>
      </c>
      <c r="J437" s="37" t="str">
        <f>IF(COUNTIF($A$2:A437,A437)=1,"New","Repeat")</f>
        <v>Repeat</v>
      </c>
      <c r="K437" s="37">
        <f ca="1">IFERROR(__xludf.DUMMYFUNCTION("IF(I437=""4+"",
   COUNTUNIQUE(FILTER(A:A, I:I&gt;=4)),
   COUNTUNIQUE(FILTER(A:A, I:I=I437))
)"),42)</f>
        <v>42</v>
      </c>
      <c r="L437" s="36"/>
      <c r="M437" s="36"/>
      <c r="N437" s="36"/>
    </row>
    <row r="438" spans="1:14" ht="15" x14ac:dyDescent="0.25">
      <c r="A438" s="33" t="s">
        <v>49</v>
      </c>
      <c r="B438" s="39">
        <v>45958</v>
      </c>
      <c r="C438" s="35" t="str">
        <f t="shared" si="13"/>
        <v>10-2025</v>
      </c>
      <c r="D438" s="36" t="s">
        <v>35</v>
      </c>
      <c r="E438" s="36" t="s">
        <v>54</v>
      </c>
      <c r="F438" s="37">
        <v>210</v>
      </c>
      <c r="G438" s="36" t="s">
        <v>33</v>
      </c>
      <c r="H438" s="37">
        <f t="shared" si="1"/>
        <v>1</v>
      </c>
      <c r="I438" s="37">
        <f t="shared" si="14"/>
        <v>4</v>
      </c>
      <c r="J438" s="37" t="str">
        <f>IF(COUNTIF($A$2:A438,A438)=1,"New","Repeat")</f>
        <v>Repeat</v>
      </c>
      <c r="K438" s="37">
        <f ca="1">IFERROR(__xludf.DUMMYFUNCTION("IF(I438=""4+"",
   COUNTUNIQUE(FILTER(A:A, I:I&gt;=4)),
   COUNTUNIQUE(FILTER(A:A, I:I=I438))
)"),32)</f>
        <v>32</v>
      </c>
      <c r="L438" s="36"/>
      <c r="M438" s="36"/>
      <c r="N438" s="36"/>
    </row>
    <row r="439" spans="1:14" ht="15" x14ac:dyDescent="0.25">
      <c r="A439" s="33" t="s">
        <v>219</v>
      </c>
      <c r="B439" s="34">
        <v>45810</v>
      </c>
      <c r="C439" s="35" t="str">
        <f t="shared" si="13"/>
        <v>06-2025</v>
      </c>
      <c r="D439" s="36" t="s">
        <v>18</v>
      </c>
      <c r="E439" s="36" t="s">
        <v>24</v>
      </c>
      <c r="F439" s="37">
        <v>453.69</v>
      </c>
      <c r="G439" s="36" t="s">
        <v>25</v>
      </c>
      <c r="H439" s="37">
        <f t="shared" si="1"/>
        <v>1</v>
      </c>
      <c r="I439" s="37">
        <f t="shared" si="14"/>
        <v>2</v>
      </c>
      <c r="J439" s="37" t="str">
        <f>IF(COUNTIF($A$2:A439,A439)=1,"New","Repeat")</f>
        <v>Repeat</v>
      </c>
      <c r="K439" s="37">
        <f ca="1">IFERROR(__xludf.DUMMYFUNCTION("IF(I439=""4+"",
   COUNTUNIQUE(FILTER(A:A, I:I&gt;=4)),
   COUNTUNIQUE(FILTER(A:A, I:I=I439))
)"),37)</f>
        <v>37</v>
      </c>
      <c r="L439" s="36"/>
      <c r="M439" s="36"/>
      <c r="N439" s="36"/>
    </row>
    <row r="440" spans="1:14" ht="15" x14ac:dyDescent="0.25">
      <c r="A440" s="33" t="s">
        <v>55</v>
      </c>
      <c r="B440" s="39">
        <v>45975</v>
      </c>
      <c r="C440" s="35" t="str">
        <f t="shared" si="13"/>
        <v>11-2025</v>
      </c>
      <c r="D440" s="36" t="s">
        <v>14</v>
      </c>
      <c r="E440" s="36" t="s">
        <v>96</v>
      </c>
      <c r="F440" s="37">
        <v>17.96</v>
      </c>
      <c r="G440" s="36" t="s">
        <v>70</v>
      </c>
      <c r="H440" s="37">
        <f t="shared" si="1"/>
        <v>1</v>
      </c>
      <c r="I440" s="37">
        <f t="shared" si="14"/>
        <v>5</v>
      </c>
      <c r="J440" s="37" t="str">
        <f>IF(COUNTIF($A$2:A440,A440)=1,"New","Repeat")</f>
        <v>Repeat</v>
      </c>
      <c r="K440" s="37">
        <f ca="1">IFERROR(__xludf.DUMMYFUNCTION("IF(I440=""4+"",
   COUNTUNIQUE(FILTER(A:A, I:I&gt;=4)),
   COUNTUNIQUE(FILTER(A:A, I:I=I440))
)"),34)</f>
        <v>34</v>
      </c>
      <c r="L440" s="36"/>
      <c r="M440" s="36"/>
      <c r="N440" s="36"/>
    </row>
    <row r="441" spans="1:14" ht="15" x14ac:dyDescent="0.25">
      <c r="A441" s="33" t="s">
        <v>225</v>
      </c>
      <c r="B441" s="34">
        <v>45735</v>
      </c>
      <c r="C441" s="35" t="str">
        <f t="shared" si="13"/>
        <v>03-2025</v>
      </c>
      <c r="D441" s="36" t="s">
        <v>51</v>
      </c>
      <c r="E441" s="36" t="s">
        <v>68</v>
      </c>
      <c r="F441" s="37">
        <v>380.3</v>
      </c>
      <c r="G441" s="36" t="s">
        <v>70</v>
      </c>
      <c r="H441" s="37">
        <f t="shared" si="1"/>
        <v>0</v>
      </c>
      <c r="I441" s="37">
        <f t="shared" si="14"/>
        <v>1</v>
      </c>
      <c r="J441" s="37" t="str">
        <f>IF(COUNTIF($A$2:A441,A441)=1,"New","Repeat")</f>
        <v>New</v>
      </c>
      <c r="K441" s="37">
        <f ca="1">IFERROR(__xludf.DUMMYFUNCTION("IF(I441=""4+"",
   COUNTUNIQUE(FILTER(A:A, I:I&gt;=4)),
   COUNTUNIQUE(FILTER(A:A, I:I=I441))
)"),24)</f>
        <v>24</v>
      </c>
      <c r="L441" s="36"/>
      <c r="M441" s="36"/>
      <c r="N441" s="36"/>
    </row>
    <row r="442" spans="1:14" ht="15" x14ac:dyDescent="0.25">
      <c r="A442" s="33" t="s">
        <v>202</v>
      </c>
      <c r="B442" s="34">
        <v>45889</v>
      </c>
      <c r="C442" s="35" t="str">
        <f t="shared" si="13"/>
        <v>08-2025</v>
      </c>
      <c r="D442" s="36" t="s">
        <v>18</v>
      </c>
      <c r="E442" s="36" t="s">
        <v>19</v>
      </c>
      <c r="F442" s="37">
        <v>440.63</v>
      </c>
      <c r="G442" s="36" t="s">
        <v>22</v>
      </c>
      <c r="H442" s="37">
        <f t="shared" si="1"/>
        <v>1</v>
      </c>
      <c r="I442" s="37">
        <f t="shared" si="14"/>
        <v>4</v>
      </c>
      <c r="J442" s="37" t="str">
        <f>IF(COUNTIF($A$2:A442,A442)=1,"New","Repeat")</f>
        <v>Repeat</v>
      </c>
      <c r="K442" s="37">
        <f ca="1">IFERROR(__xludf.DUMMYFUNCTION("IF(I442=""4+"",
   COUNTUNIQUE(FILTER(A:A, I:I&gt;=4)),
   COUNTUNIQUE(FILTER(A:A, I:I=I442))
)"),32)</f>
        <v>32</v>
      </c>
      <c r="L442" s="36"/>
      <c r="M442" s="36"/>
      <c r="N442" s="36"/>
    </row>
    <row r="443" spans="1:14" ht="15" x14ac:dyDescent="0.25">
      <c r="A443" s="33" t="s">
        <v>174</v>
      </c>
      <c r="B443" s="34">
        <v>46023</v>
      </c>
      <c r="C443" s="35" t="str">
        <f t="shared" si="13"/>
        <v>01-2026</v>
      </c>
      <c r="D443" s="36" t="s">
        <v>14</v>
      </c>
      <c r="E443" s="36" t="s">
        <v>41</v>
      </c>
      <c r="F443" s="37">
        <v>484.92</v>
      </c>
      <c r="G443" s="36" t="s">
        <v>37</v>
      </c>
      <c r="H443" s="37">
        <f t="shared" si="1"/>
        <v>1</v>
      </c>
      <c r="I443" s="37">
        <f t="shared" si="14"/>
        <v>3</v>
      </c>
      <c r="J443" s="37" t="str">
        <f>IF(COUNTIF($A$2:A443,A443)=1,"New","Repeat")</f>
        <v>Repeat</v>
      </c>
      <c r="K443" s="37">
        <f ca="1">IFERROR(__xludf.DUMMYFUNCTION("IF(I443=""4+"",
   COUNTUNIQUE(FILTER(A:A, I:I&gt;=4)),
   COUNTUNIQUE(FILTER(A:A, I:I=I443))
)"),42)</f>
        <v>42</v>
      </c>
      <c r="L443" s="36"/>
      <c r="M443" s="36"/>
      <c r="N443" s="36"/>
    </row>
    <row r="444" spans="1:14" ht="15" x14ac:dyDescent="0.25">
      <c r="A444" s="33" t="s">
        <v>226</v>
      </c>
      <c r="B444" s="34">
        <v>45924</v>
      </c>
      <c r="C444" s="35" t="str">
        <f t="shared" si="13"/>
        <v>09-2025</v>
      </c>
      <c r="D444" s="36" t="s">
        <v>35</v>
      </c>
      <c r="E444" s="36" t="s">
        <v>36</v>
      </c>
      <c r="F444" s="37">
        <v>377.4</v>
      </c>
      <c r="G444" s="36" t="s">
        <v>33</v>
      </c>
      <c r="H444" s="37">
        <f t="shared" si="1"/>
        <v>1</v>
      </c>
      <c r="I444" s="37">
        <f t="shared" si="14"/>
        <v>2</v>
      </c>
      <c r="J444" s="37" t="str">
        <f>IF(COUNTIF($A$2:A444,A444)=1,"New","Repeat")</f>
        <v>New</v>
      </c>
      <c r="K444" s="37">
        <f ca="1">IFERROR(__xludf.DUMMYFUNCTION("IF(I444=""4+"",
   COUNTUNIQUE(FILTER(A:A, I:I&gt;=4)),
   COUNTUNIQUE(FILTER(A:A, I:I=I444))
)"),37)</f>
        <v>37</v>
      </c>
      <c r="L444" s="36"/>
      <c r="M444" s="36"/>
      <c r="N444" s="36"/>
    </row>
    <row r="445" spans="1:14" ht="15" x14ac:dyDescent="0.25">
      <c r="A445" s="33" t="s">
        <v>215</v>
      </c>
      <c r="B445" s="34">
        <v>45970</v>
      </c>
      <c r="C445" s="35" t="str">
        <f t="shared" si="13"/>
        <v>11-2025</v>
      </c>
      <c r="D445" s="36" t="s">
        <v>35</v>
      </c>
      <c r="E445" s="36" t="s">
        <v>36</v>
      </c>
      <c r="F445" s="37">
        <v>324.45</v>
      </c>
      <c r="G445" s="36" t="s">
        <v>16</v>
      </c>
      <c r="H445" s="37">
        <f t="shared" si="1"/>
        <v>1</v>
      </c>
      <c r="I445" s="37">
        <f t="shared" si="14"/>
        <v>2</v>
      </c>
      <c r="J445" s="37" t="str">
        <f>IF(COUNTIF($A$2:A445,A445)=1,"New","Repeat")</f>
        <v>Repeat</v>
      </c>
      <c r="K445" s="37">
        <f ca="1">IFERROR(__xludf.DUMMYFUNCTION("IF(I445=""4+"",
   COUNTUNIQUE(FILTER(A:A, I:I&gt;=4)),
   COUNTUNIQUE(FILTER(A:A, I:I=I445))
)"),37)</f>
        <v>37</v>
      </c>
      <c r="L445" s="36"/>
      <c r="M445" s="36"/>
      <c r="N445" s="36"/>
    </row>
    <row r="446" spans="1:14" ht="15" x14ac:dyDescent="0.25">
      <c r="A446" s="33" t="s">
        <v>116</v>
      </c>
      <c r="B446" s="39">
        <v>45971</v>
      </c>
      <c r="C446" s="35" t="str">
        <f t="shared" si="13"/>
        <v>11-2025</v>
      </c>
      <c r="D446" s="36" t="s">
        <v>35</v>
      </c>
      <c r="E446" s="36" t="s">
        <v>54</v>
      </c>
      <c r="F446" s="37">
        <v>304.74</v>
      </c>
      <c r="G446" s="36" t="s">
        <v>30</v>
      </c>
      <c r="H446" s="37">
        <f t="shared" si="1"/>
        <v>1</v>
      </c>
      <c r="I446" s="37">
        <f t="shared" si="14"/>
        <v>7</v>
      </c>
      <c r="J446" s="37" t="str">
        <f>IF(COUNTIF($A$2:A446,A446)=1,"New","Repeat")</f>
        <v>Repeat</v>
      </c>
      <c r="K446" s="37">
        <f ca="1">IFERROR(__xludf.DUMMYFUNCTION("IF(I446=""4+"",
   COUNTUNIQUE(FILTER(A:A, I:I&gt;=4)),
   COUNTUNIQUE(FILTER(A:A, I:I=I446))
)"),4)</f>
        <v>4</v>
      </c>
      <c r="L446" s="36"/>
      <c r="M446" s="36"/>
      <c r="N446" s="36"/>
    </row>
    <row r="447" spans="1:14" ht="15" x14ac:dyDescent="0.25">
      <c r="A447" s="33" t="s">
        <v>110</v>
      </c>
      <c r="B447" s="34">
        <v>45725</v>
      </c>
      <c r="C447" s="35" t="str">
        <f t="shared" si="13"/>
        <v>03-2025</v>
      </c>
      <c r="D447" s="36" t="s">
        <v>35</v>
      </c>
      <c r="E447" s="36" t="s">
        <v>54</v>
      </c>
      <c r="F447" s="37">
        <v>290.57</v>
      </c>
      <c r="G447" s="36" t="s">
        <v>33</v>
      </c>
      <c r="H447" s="37">
        <f t="shared" si="1"/>
        <v>1</v>
      </c>
      <c r="I447" s="37">
        <f t="shared" si="14"/>
        <v>4</v>
      </c>
      <c r="J447" s="37" t="str">
        <f>IF(COUNTIF($A$2:A447,A447)=1,"New","Repeat")</f>
        <v>Repeat</v>
      </c>
      <c r="K447" s="37">
        <f ca="1">IFERROR(__xludf.DUMMYFUNCTION("IF(I447=""4+"",
   COUNTUNIQUE(FILTER(A:A, I:I&gt;=4)),
   COUNTUNIQUE(FILTER(A:A, I:I=I447))
)"),32)</f>
        <v>32</v>
      </c>
      <c r="L447" s="36"/>
      <c r="M447" s="36"/>
      <c r="N447" s="36"/>
    </row>
    <row r="448" spans="1:14" ht="15" x14ac:dyDescent="0.25">
      <c r="A448" s="33" t="s">
        <v>198</v>
      </c>
      <c r="B448" s="39">
        <v>46008</v>
      </c>
      <c r="C448" s="35" t="str">
        <f t="shared" si="13"/>
        <v>12-2025</v>
      </c>
      <c r="D448" s="36" t="s">
        <v>18</v>
      </c>
      <c r="E448" s="36" t="s">
        <v>21</v>
      </c>
      <c r="F448" s="37">
        <v>457.2</v>
      </c>
      <c r="G448" s="36" t="s">
        <v>30</v>
      </c>
      <c r="H448" s="37">
        <f t="shared" si="1"/>
        <v>1</v>
      </c>
      <c r="I448" s="37">
        <f t="shared" si="14"/>
        <v>6</v>
      </c>
      <c r="J448" s="37" t="str">
        <f>IF(COUNTIF($A$2:A448,A448)=1,"New","Repeat")</f>
        <v>Repeat</v>
      </c>
      <c r="K448" s="37">
        <f ca="1">IFERROR(__xludf.DUMMYFUNCTION("IF(I448=""4+"",
   COUNTUNIQUE(FILTER(A:A, I:I&gt;=4)),
   COUNTUNIQUE(FILTER(A:A, I:I=I448))
)"),19)</f>
        <v>19</v>
      </c>
      <c r="L448" s="36"/>
      <c r="M448" s="36"/>
      <c r="N448" s="36"/>
    </row>
    <row r="449" spans="1:14" ht="15" x14ac:dyDescent="0.25">
      <c r="A449" s="33" t="s">
        <v>227</v>
      </c>
      <c r="B449" s="34">
        <v>45792</v>
      </c>
      <c r="C449" s="35" t="str">
        <f t="shared" si="13"/>
        <v>05-2025</v>
      </c>
      <c r="D449" s="36" t="s">
        <v>18</v>
      </c>
      <c r="E449" s="36" t="s">
        <v>65</v>
      </c>
      <c r="F449" s="37">
        <v>164.16</v>
      </c>
      <c r="G449" s="36" t="s">
        <v>16</v>
      </c>
      <c r="H449" s="37">
        <f t="shared" si="1"/>
        <v>1</v>
      </c>
      <c r="I449" s="37">
        <f t="shared" si="14"/>
        <v>3</v>
      </c>
      <c r="J449" s="37" t="str">
        <f>IF(COUNTIF($A$2:A449,A449)=1,"New","Repeat")</f>
        <v>New</v>
      </c>
      <c r="K449" s="37">
        <f ca="1">IFERROR(__xludf.DUMMYFUNCTION("IF(I449=""4+"",
   COUNTUNIQUE(FILTER(A:A, I:I&gt;=4)),
   COUNTUNIQUE(FILTER(A:A, I:I=I449))
)"),42)</f>
        <v>42</v>
      </c>
      <c r="L449" s="36"/>
      <c r="M449" s="36"/>
      <c r="N449" s="36"/>
    </row>
    <row r="450" spans="1:14" ht="15" x14ac:dyDescent="0.25">
      <c r="A450" s="33" t="s">
        <v>228</v>
      </c>
      <c r="B450" s="34">
        <v>45843</v>
      </c>
      <c r="C450" s="35" t="str">
        <f t="shared" ref="C450:C513" si="15">TEXT(B:B, "mm-yyyy")</f>
        <v>07-2025</v>
      </c>
      <c r="D450" s="36" t="s">
        <v>35</v>
      </c>
      <c r="E450" s="36" t="s">
        <v>93</v>
      </c>
      <c r="F450" s="37">
        <v>282.56</v>
      </c>
      <c r="G450" s="36" t="s">
        <v>70</v>
      </c>
      <c r="H450" s="37">
        <f t="shared" si="1"/>
        <v>1</v>
      </c>
      <c r="I450" s="37">
        <f t="shared" ref="I450:I513" si="16">COUNTIF($A:$A, A450)</f>
        <v>2</v>
      </c>
      <c r="J450" s="37" t="str">
        <f>IF(COUNTIF($A$2:A450,A450)=1,"New","Repeat")</f>
        <v>New</v>
      </c>
      <c r="K450" s="37">
        <f ca="1">IFERROR(__xludf.DUMMYFUNCTION("IF(I450=""4+"",
   COUNTUNIQUE(FILTER(A:A, I:I&gt;=4)),
   COUNTUNIQUE(FILTER(A:A, I:I=I450))
)"),37)</f>
        <v>37</v>
      </c>
      <c r="L450" s="36"/>
      <c r="M450" s="36"/>
      <c r="N450" s="36"/>
    </row>
    <row r="451" spans="1:14" ht="15" x14ac:dyDescent="0.25">
      <c r="A451" s="33" t="s">
        <v>150</v>
      </c>
      <c r="B451" s="34">
        <v>45715</v>
      </c>
      <c r="C451" s="35" t="str">
        <f t="shared" si="15"/>
        <v>02-2025</v>
      </c>
      <c r="D451" s="36" t="s">
        <v>18</v>
      </c>
      <c r="E451" s="36" t="s">
        <v>19</v>
      </c>
      <c r="F451" s="37">
        <v>218.7</v>
      </c>
      <c r="G451" s="36" t="s">
        <v>22</v>
      </c>
      <c r="H451" s="37">
        <f t="shared" si="1"/>
        <v>1</v>
      </c>
      <c r="I451" s="37">
        <f t="shared" si="16"/>
        <v>9</v>
      </c>
      <c r="J451" s="37" t="str">
        <f>IF(COUNTIF($A$2:A451,A451)=1,"New","Repeat")</f>
        <v>Repeat</v>
      </c>
      <c r="K451" s="37">
        <f ca="1">IFERROR(__xludf.DUMMYFUNCTION("IF(I451=""4+"",
   COUNTUNIQUE(FILTER(A:A, I:I&gt;=4)),
   COUNTUNIQUE(FILTER(A:A, I:I=I451))
)"),2)</f>
        <v>2</v>
      </c>
      <c r="L451" s="36"/>
      <c r="M451" s="36"/>
      <c r="N451" s="36"/>
    </row>
    <row r="452" spans="1:14" ht="15" x14ac:dyDescent="0.25">
      <c r="A452" s="33" t="s">
        <v>98</v>
      </c>
      <c r="B452" s="34">
        <v>45894</v>
      </c>
      <c r="C452" s="35" t="str">
        <f t="shared" si="15"/>
        <v>08-2025</v>
      </c>
      <c r="D452" s="36" t="s">
        <v>14</v>
      </c>
      <c r="E452" s="36" t="s">
        <v>15</v>
      </c>
      <c r="F452" s="37">
        <v>20.93</v>
      </c>
      <c r="G452" s="36" t="s">
        <v>16</v>
      </c>
      <c r="H452" s="37">
        <f t="shared" si="1"/>
        <v>1</v>
      </c>
      <c r="I452" s="37">
        <f t="shared" si="16"/>
        <v>4</v>
      </c>
      <c r="J452" s="37" t="str">
        <f>IF(COUNTIF($A$2:A452,A452)=1,"New","Repeat")</f>
        <v>Repeat</v>
      </c>
      <c r="K452" s="37">
        <f ca="1">IFERROR(__xludf.DUMMYFUNCTION("IF(I452=""4+"",
   COUNTUNIQUE(FILTER(A:A, I:I&gt;=4)),
   COUNTUNIQUE(FILTER(A:A, I:I=I452))
)"),32)</f>
        <v>32</v>
      </c>
      <c r="L452" s="36"/>
      <c r="M452" s="36"/>
      <c r="N452" s="36"/>
    </row>
    <row r="453" spans="1:14" ht="15" x14ac:dyDescent="0.25">
      <c r="A453" s="33" t="s">
        <v>200</v>
      </c>
      <c r="B453" s="39">
        <v>45949</v>
      </c>
      <c r="C453" s="35" t="str">
        <f t="shared" si="15"/>
        <v>10-2025</v>
      </c>
      <c r="D453" s="36" t="s">
        <v>28</v>
      </c>
      <c r="E453" s="36" t="s">
        <v>74</v>
      </c>
      <c r="F453" s="37">
        <v>382.71</v>
      </c>
      <c r="G453" s="36" t="s">
        <v>22</v>
      </c>
      <c r="H453" s="37">
        <f t="shared" si="1"/>
        <v>1</v>
      </c>
      <c r="I453" s="37">
        <f t="shared" si="16"/>
        <v>6</v>
      </c>
      <c r="J453" s="37" t="str">
        <f>IF(COUNTIF($A$2:A453,A453)=1,"New","Repeat")</f>
        <v>Repeat</v>
      </c>
      <c r="K453" s="37">
        <f ca="1">IFERROR(__xludf.DUMMYFUNCTION("IF(I453=""4+"",
   COUNTUNIQUE(FILTER(A:A, I:I&gt;=4)),
   COUNTUNIQUE(FILTER(A:A, I:I=I453))
)"),19)</f>
        <v>19</v>
      </c>
      <c r="L453" s="36"/>
      <c r="M453" s="36"/>
      <c r="N453" s="36"/>
    </row>
    <row r="454" spans="1:14" ht="15" x14ac:dyDescent="0.25">
      <c r="A454" s="33" t="s">
        <v>125</v>
      </c>
      <c r="B454" s="34">
        <v>45874</v>
      </c>
      <c r="C454" s="35" t="str">
        <f t="shared" si="15"/>
        <v>08-2025</v>
      </c>
      <c r="D454" s="36" t="s">
        <v>18</v>
      </c>
      <c r="E454" s="36" t="s">
        <v>19</v>
      </c>
      <c r="F454" s="37">
        <v>116.98</v>
      </c>
      <c r="G454" s="36" t="s">
        <v>16</v>
      </c>
      <c r="H454" s="37">
        <f t="shared" si="1"/>
        <v>1</v>
      </c>
      <c r="I454" s="37">
        <f t="shared" si="16"/>
        <v>5</v>
      </c>
      <c r="J454" s="37" t="str">
        <f>IF(COUNTIF($A$2:A454,A454)=1,"New","Repeat")</f>
        <v>Repeat</v>
      </c>
      <c r="K454" s="37">
        <f ca="1">IFERROR(__xludf.DUMMYFUNCTION("IF(I454=""4+"",
   COUNTUNIQUE(FILTER(A:A, I:I&gt;=4)),
   COUNTUNIQUE(FILTER(A:A, I:I=I454))
)"),34)</f>
        <v>34</v>
      </c>
      <c r="L454" s="36"/>
      <c r="M454" s="36"/>
      <c r="N454" s="36"/>
    </row>
    <row r="455" spans="1:14" ht="15" x14ac:dyDescent="0.25">
      <c r="A455" s="33" t="s">
        <v>135</v>
      </c>
      <c r="B455" s="34">
        <v>45930</v>
      </c>
      <c r="C455" s="35" t="str">
        <f t="shared" si="15"/>
        <v>09-2025</v>
      </c>
      <c r="D455" s="36" t="s">
        <v>28</v>
      </c>
      <c r="E455" s="36" t="s">
        <v>29</v>
      </c>
      <c r="F455" s="37">
        <v>365.25</v>
      </c>
      <c r="G455" s="36" t="s">
        <v>30</v>
      </c>
      <c r="H455" s="37">
        <f t="shared" si="1"/>
        <v>1</v>
      </c>
      <c r="I455" s="37">
        <f t="shared" si="16"/>
        <v>4</v>
      </c>
      <c r="J455" s="37" t="str">
        <f>IF(COUNTIF($A$2:A455,A455)=1,"New","Repeat")</f>
        <v>Repeat</v>
      </c>
      <c r="K455" s="37">
        <f ca="1">IFERROR(__xludf.DUMMYFUNCTION("IF(I455=""4+"",
   COUNTUNIQUE(FILTER(A:A, I:I&gt;=4)),
   COUNTUNIQUE(FILTER(A:A, I:I=I455))
)"),32)</f>
        <v>32</v>
      </c>
      <c r="L455" s="36"/>
      <c r="M455" s="36"/>
      <c r="N455" s="36"/>
    </row>
    <row r="456" spans="1:14" ht="15" x14ac:dyDescent="0.25">
      <c r="A456" s="33" t="s">
        <v>80</v>
      </c>
      <c r="B456" s="34">
        <v>45937</v>
      </c>
      <c r="C456" s="35" t="str">
        <f t="shared" si="15"/>
        <v>10-2025</v>
      </c>
      <c r="D456" s="36" t="s">
        <v>18</v>
      </c>
      <c r="E456" s="36" t="s">
        <v>24</v>
      </c>
      <c r="F456" s="37">
        <v>274.32</v>
      </c>
      <c r="G456" s="36" t="s">
        <v>16</v>
      </c>
      <c r="H456" s="37">
        <f t="shared" si="1"/>
        <v>1</v>
      </c>
      <c r="I456" s="37">
        <f t="shared" si="16"/>
        <v>6</v>
      </c>
      <c r="J456" s="37" t="str">
        <f>IF(COUNTIF($A$2:A456,A456)=1,"New","Repeat")</f>
        <v>Repeat</v>
      </c>
      <c r="K456" s="37">
        <f ca="1">IFERROR(__xludf.DUMMYFUNCTION("IF(I456=""4+"",
   COUNTUNIQUE(FILTER(A:A, I:I&gt;=4)),
   COUNTUNIQUE(FILTER(A:A, I:I=I456))
)"),19)</f>
        <v>19</v>
      </c>
      <c r="L456" s="36"/>
      <c r="M456" s="36"/>
      <c r="N456" s="36"/>
    </row>
    <row r="457" spans="1:14" ht="15" x14ac:dyDescent="0.25">
      <c r="A457" s="33" t="s">
        <v>119</v>
      </c>
      <c r="B457" s="34">
        <v>45846</v>
      </c>
      <c r="C457" s="35" t="str">
        <f t="shared" si="15"/>
        <v>07-2025</v>
      </c>
      <c r="D457" s="36" t="s">
        <v>18</v>
      </c>
      <c r="E457" s="36" t="s">
        <v>21</v>
      </c>
      <c r="F457" s="37">
        <v>366.4</v>
      </c>
      <c r="G457" s="36" t="s">
        <v>25</v>
      </c>
      <c r="H457" s="37">
        <f t="shared" si="1"/>
        <v>1</v>
      </c>
      <c r="I457" s="37">
        <f t="shared" si="16"/>
        <v>6</v>
      </c>
      <c r="J457" s="37" t="str">
        <f>IF(COUNTIF($A$2:A457,A457)=1,"New","Repeat")</f>
        <v>Repeat</v>
      </c>
      <c r="K457" s="37">
        <f ca="1">IFERROR(__xludf.DUMMYFUNCTION("IF(I457=""4+"",
   COUNTUNIQUE(FILTER(A:A, I:I&gt;=4)),
   COUNTUNIQUE(FILTER(A:A, I:I=I457))
)"),19)</f>
        <v>19</v>
      </c>
      <c r="L457" s="36"/>
      <c r="M457" s="36"/>
      <c r="N457" s="36"/>
    </row>
    <row r="458" spans="1:14" ht="15" x14ac:dyDescent="0.25">
      <c r="A458" s="33" t="s">
        <v>229</v>
      </c>
      <c r="B458" s="39">
        <v>45959</v>
      </c>
      <c r="C458" s="35" t="str">
        <f t="shared" si="15"/>
        <v>10-2025</v>
      </c>
      <c r="D458" s="36" t="s">
        <v>28</v>
      </c>
      <c r="E458" s="36" t="s">
        <v>74</v>
      </c>
      <c r="F458" s="37">
        <v>163.05000000000001</v>
      </c>
      <c r="G458" s="36" t="s">
        <v>25</v>
      </c>
      <c r="H458" s="37">
        <f t="shared" si="1"/>
        <v>1</v>
      </c>
      <c r="I458" s="37">
        <f t="shared" si="16"/>
        <v>2</v>
      </c>
      <c r="J458" s="37" t="str">
        <f>IF(COUNTIF($A$2:A458,A458)=1,"New","Repeat")</f>
        <v>New</v>
      </c>
      <c r="K458" s="37">
        <f ca="1">IFERROR(__xludf.DUMMYFUNCTION("IF(I458=""4+"",
   COUNTUNIQUE(FILTER(A:A, I:I&gt;=4)),
   COUNTUNIQUE(FILTER(A:A, I:I=I458))
)"),37)</f>
        <v>37</v>
      </c>
      <c r="L458" s="36"/>
      <c r="M458" s="36"/>
      <c r="N458" s="36"/>
    </row>
    <row r="459" spans="1:14" ht="15" x14ac:dyDescent="0.25">
      <c r="A459" s="33" t="s">
        <v>184</v>
      </c>
      <c r="B459" s="34">
        <v>45855</v>
      </c>
      <c r="C459" s="35" t="str">
        <f t="shared" si="15"/>
        <v>07-2025</v>
      </c>
      <c r="D459" s="36" t="s">
        <v>14</v>
      </c>
      <c r="E459" s="36" t="s">
        <v>32</v>
      </c>
      <c r="F459" s="37">
        <v>248.56</v>
      </c>
      <c r="G459" s="36" t="s">
        <v>30</v>
      </c>
      <c r="H459" s="37">
        <f t="shared" si="1"/>
        <v>1</v>
      </c>
      <c r="I459" s="37">
        <f t="shared" si="16"/>
        <v>6</v>
      </c>
      <c r="J459" s="37" t="str">
        <f>IF(COUNTIF($A$2:A459,A459)=1,"New","Repeat")</f>
        <v>Repeat</v>
      </c>
      <c r="K459" s="37">
        <f ca="1">IFERROR(__xludf.DUMMYFUNCTION("IF(I459=""4+"",
   COUNTUNIQUE(FILTER(A:A, I:I&gt;=4)),
   COUNTUNIQUE(FILTER(A:A, I:I=I459))
)"),19)</f>
        <v>19</v>
      </c>
      <c r="L459" s="36"/>
      <c r="M459" s="36"/>
      <c r="N459" s="36"/>
    </row>
    <row r="460" spans="1:14" ht="15" x14ac:dyDescent="0.25">
      <c r="A460" s="33" t="s">
        <v>97</v>
      </c>
      <c r="B460" s="34">
        <v>45815</v>
      </c>
      <c r="C460" s="35" t="str">
        <f t="shared" si="15"/>
        <v>06-2025</v>
      </c>
      <c r="D460" s="36" t="s">
        <v>35</v>
      </c>
      <c r="E460" s="36" t="s">
        <v>58</v>
      </c>
      <c r="F460" s="37">
        <v>466.81</v>
      </c>
      <c r="G460" s="36" t="s">
        <v>16</v>
      </c>
      <c r="H460" s="37">
        <f t="shared" si="1"/>
        <v>1</v>
      </c>
      <c r="I460" s="37">
        <f t="shared" si="16"/>
        <v>5</v>
      </c>
      <c r="J460" s="37" t="str">
        <f>IF(COUNTIF($A$2:A460,A460)=1,"New","Repeat")</f>
        <v>Repeat</v>
      </c>
      <c r="K460" s="37">
        <f ca="1">IFERROR(__xludf.DUMMYFUNCTION("IF(I460=""4+"",
   COUNTUNIQUE(FILTER(A:A, I:I&gt;=4)),
   COUNTUNIQUE(FILTER(A:A, I:I=I460))
)"),34)</f>
        <v>34</v>
      </c>
      <c r="L460" s="36"/>
      <c r="M460" s="36"/>
      <c r="N460" s="36"/>
    </row>
    <row r="461" spans="1:14" ht="15" x14ac:dyDescent="0.25">
      <c r="A461" s="33" t="s">
        <v>95</v>
      </c>
      <c r="B461" s="34">
        <v>45880</v>
      </c>
      <c r="C461" s="35" t="str">
        <f t="shared" si="15"/>
        <v>08-2025</v>
      </c>
      <c r="D461" s="36" t="s">
        <v>18</v>
      </c>
      <c r="E461" s="36" t="s">
        <v>47</v>
      </c>
      <c r="F461" s="37">
        <v>30.29</v>
      </c>
      <c r="G461" s="36" t="s">
        <v>16</v>
      </c>
      <c r="H461" s="37">
        <f t="shared" si="1"/>
        <v>1</v>
      </c>
      <c r="I461" s="37">
        <f t="shared" si="16"/>
        <v>5</v>
      </c>
      <c r="J461" s="37" t="str">
        <f>IF(COUNTIF($A$2:A461,A461)=1,"New","Repeat")</f>
        <v>Repeat</v>
      </c>
      <c r="K461" s="37">
        <f ca="1">IFERROR(__xludf.DUMMYFUNCTION("IF(I461=""4+"",
   COUNTUNIQUE(FILTER(A:A, I:I&gt;=4)),
   COUNTUNIQUE(FILTER(A:A, I:I=I461))
)"),34)</f>
        <v>34</v>
      </c>
      <c r="L461" s="36"/>
      <c r="M461" s="36"/>
      <c r="N461" s="36"/>
    </row>
    <row r="462" spans="1:14" ht="15" x14ac:dyDescent="0.25">
      <c r="A462" s="33" t="s">
        <v>198</v>
      </c>
      <c r="B462" s="39">
        <v>46012</v>
      </c>
      <c r="C462" s="35" t="str">
        <f t="shared" si="15"/>
        <v>12-2025</v>
      </c>
      <c r="D462" s="36" t="s">
        <v>14</v>
      </c>
      <c r="E462" s="36" t="s">
        <v>32</v>
      </c>
      <c r="F462" s="37">
        <v>183.74</v>
      </c>
      <c r="G462" s="36" t="s">
        <v>70</v>
      </c>
      <c r="H462" s="37">
        <f t="shared" si="1"/>
        <v>1</v>
      </c>
      <c r="I462" s="37">
        <f t="shared" si="16"/>
        <v>6</v>
      </c>
      <c r="J462" s="37" t="str">
        <f>IF(COUNTIF($A$2:A462,A462)=1,"New","Repeat")</f>
        <v>Repeat</v>
      </c>
      <c r="K462" s="37">
        <f ca="1">IFERROR(__xludf.DUMMYFUNCTION("IF(I462=""4+"",
   COUNTUNIQUE(FILTER(A:A, I:I&gt;=4)),
   COUNTUNIQUE(FILTER(A:A, I:I=I462))
)"),19)</f>
        <v>19</v>
      </c>
      <c r="L462" s="36"/>
      <c r="M462" s="36"/>
      <c r="N462" s="36"/>
    </row>
    <row r="463" spans="1:14" ht="15" x14ac:dyDescent="0.25">
      <c r="A463" s="33" t="s">
        <v>177</v>
      </c>
      <c r="B463" s="39">
        <v>45961</v>
      </c>
      <c r="C463" s="35" t="str">
        <f t="shared" si="15"/>
        <v>10-2025</v>
      </c>
      <c r="D463" s="36" t="s">
        <v>28</v>
      </c>
      <c r="E463" s="36" t="s">
        <v>74</v>
      </c>
      <c r="F463" s="37">
        <v>192.96</v>
      </c>
      <c r="G463" s="36" t="s">
        <v>22</v>
      </c>
      <c r="H463" s="37">
        <f t="shared" si="1"/>
        <v>1</v>
      </c>
      <c r="I463" s="37">
        <f t="shared" si="16"/>
        <v>6</v>
      </c>
      <c r="J463" s="37" t="str">
        <f>IF(COUNTIF($A$2:A463,A463)=1,"New","Repeat")</f>
        <v>Repeat</v>
      </c>
      <c r="K463" s="37">
        <f ca="1">IFERROR(__xludf.DUMMYFUNCTION("IF(I463=""4+"",
   COUNTUNIQUE(FILTER(A:A, I:I&gt;=4)),
   COUNTUNIQUE(FILTER(A:A, I:I=I463))
)"),19)</f>
        <v>19</v>
      </c>
      <c r="L463" s="36"/>
      <c r="M463" s="36"/>
      <c r="N463" s="36"/>
    </row>
    <row r="464" spans="1:14" ht="15" x14ac:dyDescent="0.25">
      <c r="A464" s="33" t="s">
        <v>127</v>
      </c>
      <c r="B464" s="39">
        <v>45985</v>
      </c>
      <c r="C464" s="35" t="str">
        <f t="shared" si="15"/>
        <v>11-2025</v>
      </c>
      <c r="D464" s="36" t="s">
        <v>18</v>
      </c>
      <c r="E464" s="36" t="s">
        <v>24</v>
      </c>
      <c r="F464" s="37">
        <v>343.73</v>
      </c>
      <c r="G464" s="36" t="s">
        <v>70</v>
      </c>
      <c r="H464" s="37">
        <f t="shared" si="1"/>
        <v>1</v>
      </c>
      <c r="I464" s="37">
        <f t="shared" si="16"/>
        <v>5</v>
      </c>
      <c r="J464" s="37" t="str">
        <f>IF(COUNTIF($A$2:A464,A464)=1,"New","Repeat")</f>
        <v>Repeat</v>
      </c>
      <c r="K464" s="37">
        <f ca="1">IFERROR(__xludf.DUMMYFUNCTION("IF(I464=""4+"",
   COUNTUNIQUE(FILTER(A:A, I:I&gt;=4)),
   COUNTUNIQUE(FILTER(A:A, I:I=I464))
)"),34)</f>
        <v>34</v>
      </c>
      <c r="L464" s="36"/>
      <c r="M464" s="36"/>
      <c r="N464" s="36"/>
    </row>
    <row r="465" spans="1:14" ht="15" x14ac:dyDescent="0.25">
      <c r="A465" s="33" t="s">
        <v>198</v>
      </c>
      <c r="B465" s="34">
        <v>45866</v>
      </c>
      <c r="C465" s="35" t="str">
        <f t="shared" si="15"/>
        <v>07-2025</v>
      </c>
      <c r="D465" s="36" t="s">
        <v>28</v>
      </c>
      <c r="E465" s="36" t="s">
        <v>45</v>
      </c>
      <c r="F465" s="37">
        <v>343.81</v>
      </c>
      <c r="G465" s="36" t="s">
        <v>25</v>
      </c>
      <c r="H465" s="37">
        <f t="shared" si="1"/>
        <v>1</v>
      </c>
      <c r="I465" s="37">
        <f t="shared" si="16"/>
        <v>6</v>
      </c>
      <c r="J465" s="37" t="str">
        <f>IF(COUNTIF($A$2:A465,A465)=1,"New","Repeat")</f>
        <v>Repeat</v>
      </c>
      <c r="K465" s="37">
        <f ca="1">IFERROR(__xludf.DUMMYFUNCTION("IF(I465=""4+"",
   COUNTUNIQUE(FILTER(A:A, I:I&gt;=4)),
   COUNTUNIQUE(FILTER(A:A, I:I=I465))
)"),19)</f>
        <v>19</v>
      </c>
      <c r="L465" s="36"/>
      <c r="M465" s="36"/>
      <c r="N465" s="36"/>
    </row>
    <row r="466" spans="1:14" ht="15" x14ac:dyDescent="0.25">
      <c r="A466" s="33" t="s">
        <v>203</v>
      </c>
      <c r="B466" s="34">
        <v>46055</v>
      </c>
      <c r="C466" s="35" t="str">
        <f t="shared" si="15"/>
        <v>02-2026</v>
      </c>
      <c r="D466" s="36" t="s">
        <v>14</v>
      </c>
      <c r="E466" s="36" t="s">
        <v>15</v>
      </c>
      <c r="F466" s="37">
        <v>57.7</v>
      </c>
      <c r="G466" s="36" t="s">
        <v>33</v>
      </c>
      <c r="H466" s="37">
        <f t="shared" si="1"/>
        <v>1</v>
      </c>
      <c r="I466" s="37">
        <f t="shared" si="16"/>
        <v>3</v>
      </c>
      <c r="J466" s="37" t="str">
        <f>IF(COUNTIF($A$2:A466,A466)=1,"New","Repeat")</f>
        <v>Repeat</v>
      </c>
      <c r="K466" s="37">
        <f ca="1">IFERROR(__xludf.DUMMYFUNCTION("IF(I466=""4+"",
   COUNTUNIQUE(FILTER(A:A, I:I&gt;=4)),
   COUNTUNIQUE(FILTER(A:A, I:I=I466))
)"),42)</f>
        <v>42</v>
      </c>
      <c r="L466" s="36"/>
      <c r="M466" s="36"/>
      <c r="N466" s="36"/>
    </row>
    <row r="467" spans="1:14" ht="15" x14ac:dyDescent="0.25">
      <c r="A467" s="33" t="s">
        <v>199</v>
      </c>
      <c r="B467" s="34">
        <v>45838</v>
      </c>
      <c r="C467" s="35" t="str">
        <f t="shared" si="15"/>
        <v>06-2025</v>
      </c>
      <c r="D467" s="36" t="s">
        <v>51</v>
      </c>
      <c r="E467" s="36" t="s">
        <v>72</v>
      </c>
      <c r="F467" s="37">
        <v>385.06</v>
      </c>
      <c r="G467" s="36" t="s">
        <v>70</v>
      </c>
      <c r="H467" s="37">
        <f t="shared" si="1"/>
        <v>1</v>
      </c>
      <c r="I467" s="37">
        <f t="shared" si="16"/>
        <v>4</v>
      </c>
      <c r="J467" s="37" t="str">
        <f>IF(COUNTIF($A$2:A467,A467)=1,"New","Repeat")</f>
        <v>Repeat</v>
      </c>
      <c r="K467" s="37">
        <f ca="1">IFERROR(__xludf.DUMMYFUNCTION("IF(I467=""4+"",
   COUNTUNIQUE(FILTER(A:A, I:I&gt;=4)),
   COUNTUNIQUE(FILTER(A:A, I:I=I467))
)"),32)</f>
        <v>32</v>
      </c>
      <c r="L467" s="36"/>
      <c r="M467" s="36"/>
      <c r="N467" s="36"/>
    </row>
    <row r="468" spans="1:14" ht="15" x14ac:dyDescent="0.25">
      <c r="A468" s="33" t="s">
        <v>198</v>
      </c>
      <c r="B468" s="39">
        <v>45960</v>
      </c>
      <c r="C468" s="35" t="str">
        <f t="shared" si="15"/>
        <v>10-2025</v>
      </c>
      <c r="D468" s="36" t="s">
        <v>35</v>
      </c>
      <c r="E468" s="36" t="s">
        <v>39</v>
      </c>
      <c r="F468" s="37">
        <v>276.02999999999997</v>
      </c>
      <c r="G468" s="36" t="s">
        <v>22</v>
      </c>
      <c r="H468" s="37">
        <f t="shared" si="1"/>
        <v>1</v>
      </c>
      <c r="I468" s="37">
        <f t="shared" si="16"/>
        <v>6</v>
      </c>
      <c r="J468" s="37" t="str">
        <f>IF(COUNTIF($A$2:A468,A468)=1,"New","Repeat")</f>
        <v>Repeat</v>
      </c>
      <c r="K468" s="37">
        <f ca="1">IFERROR(__xludf.DUMMYFUNCTION("IF(I468=""4+"",
   COUNTUNIQUE(FILTER(A:A, I:I&gt;=4)),
   COUNTUNIQUE(FILTER(A:A, I:I=I468))
)"),19)</f>
        <v>19</v>
      </c>
      <c r="L468" s="36"/>
      <c r="M468" s="36"/>
      <c r="N468" s="36"/>
    </row>
    <row r="469" spans="1:14" ht="15" x14ac:dyDescent="0.25">
      <c r="A469" s="33" t="s">
        <v>170</v>
      </c>
      <c r="B469" s="34">
        <v>45835</v>
      </c>
      <c r="C469" s="35" t="str">
        <f t="shared" si="15"/>
        <v>06-2025</v>
      </c>
      <c r="D469" s="36" t="s">
        <v>28</v>
      </c>
      <c r="E469" s="36" t="s">
        <v>43</v>
      </c>
      <c r="F469" s="37">
        <v>314.23</v>
      </c>
      <c r="G469" s="36" t="s">
        <v>25</v>
      </c>
      <c r="H469" s="37">
        <f t="shared" si="1"/>
        <v>1</v>
      </c>
      <c r="I469" s="37">
        <f t="shared" si="16"/>
        <v>6</v>
      </c>
      <c r="J469" s="37" t="str">
        <f>IF(COUNTIF($A$2:A469,A469)=1,"New","Repeat")</f>
        <v>Repeat</v>
      </c>
      <c r="K469" s="37">
        <f ca="1">IFERROR(__xludf.DUMMYFUNCTION("IF(I469=""4+"",
   COUNTUNIQUE(FILTER(A:A, I:I&gt;=4)),
   COUNTUNIQUE(FILTER(A:A, I:I=I469))
)"),19)</f>
        <v>19</v>
      </c>
      <c r="L469" s="36"/>
      <c r="M469" s="36"/>
      <c r="N469" s="36"/>
    </row>
    <row r="470" spans="1:14" ht="15" x14ac:dyDescent="0.25">
      <c r="A470" s="33" t="s">
        <v>230</v>
      </c>
      <c r="B470" s="39">
        <v>45945</v>
      </c>
      <c r="C470" s="35" t="str">
        <f t="shared" si="15"/>
        <v>10-2025</v>
      </c>
      <c r="D470" s="36" t="s">
        <v>35</v>
      </c>
      <c r="E470" s="36" t="s">
        <v>36</v>
      </c>
      <c r="F470" s="37">
        <v>99.12</v>
      </c>
      <c r="G470" s="36" t="s">
        <v>33</v>
      </c>
      <c r="H470" s="37">
        <f t="shared" si="1"/>
        <v>1</v>
      </c>
      <c r="I470" s="37">
        <f t="shared" si="16"/>
        <v>3</v>
      </c>
      <c r="J470" s="37" t="str">
        <f>IF(COUNTIF($A$2:A470,A470)=1,"New","Repeat")</f>
        <v>New</v>
      </c>
      <c r="K470" s="37">
        <f ca="1">IFERROR(__xludf.DUMMYFUNCTION("IF(I470=""4+"",
   COUNTUNIQUE(FILTER(A:A, I:I&gt;=4)),
   COUNTUNIQUE(FILTER(A:A, I:I=I470))
)"),42)</f>
        <v>42</v>
      </c>
      <c r="L470" s="36"/>
      <c r="M470" s="36"/>
      <c r="N470" s="36"/>
    </row>
    <row r="471" spans="1:14" ht="15" x14ac:dyDescent="0.25">
      <c r="A471" s="33" t="s">
        <v>38</v>
      </c>
      <c r="B471" s="34">
        <v>45873</v>
      </c>
      <c r="C471" s="35" t="str">
        <f t="shared" si="15"/>
        <v>08-2025</v>
      </c>
      <c r="D471" s="36" t="s">
        <v>14</v>
      </c>
      <c r="E471" s="36" t="s">
        <v>96</v>
      </c>
      <c r="F471" s="37">
        <v>345.42</v>
      </c>
      <c r="G471" s="36" t="s">
        <v>33</v>
      </c>
      <c r="H471" s="37">
        <f t="shared" si="1"/>
        <v>1</v>
      </c>
      <c r="I471" s="37">
        <f t="shared" si="16"/>
        <v>3</v>
      </c>
      <c r="J471" s="37" t="str">
        <f>IF(COUNTIF($A$2:A471,A471)=1,"New","Repeat")</f>
        <v>Repeat</v>
      </c>
      <c r="K471" s="37">
        <f ca="1">IFERROR(__xludf.DUMMYFUNCTION("IF(I471=""4+"",
   COUNTUNIQUE(FILTER(A:A, I:I&gt;=4)),
   COUNTUNIQUE(FILTER(A:A, I:I=I471))
)"),42)</f>
        <v>42</v>
      </c>
      <c r="L471" s="36"/>
      <c r="M471" s="36"/>
      <c r="N471" s="36"/>
    </row>
    <row r="472" spans="1:14" ht="15" x14ac:dyDescent="0.25">
      <c r="A472" s="33" t="s">
        <v>226</v>
      </c>
      <c r="B472" s="39">
        <v>45952</v>
      </c>
      <c r="C472" s="35" t="str">
        <f t="shared" si="15"/>
        <v>10-2025</v>
      </c>
      <c r="D472" s="36" t="s">
        <v>18</v>
      </c>
      <c r="E472" s="36" t="s">
        <v>21</v>
      </c>
      <c r="F472" s="37">
        <v>386.54</v>
      </c>
      <c r="G472" s="36" t="s">
        <v>33</v>
      </c>
      <c r="H472" s="37">
        <f t="shared" si="1"/>
        <v>1</v>
      </c>
      <c r="I472" s="37">
        <f t="shared" si="16"/>
        <v>2</v>
      </c>
      <c r="J472" s="37" t="str">
        <f>IF(COUNTIF($A$2:A472,A472)=1,"New","Repeat")</f>
        <v>Repeat</v>
      </c>
      <c r="K472" s="37">
        <f ca="1">IFERROR(__xludf.DUMMYFUNCTION("IF(I472=""4+"",
   COUNTUNIQUE(FILTER(A:A, I:I&gt;=4)),
   COUNTUNIQUE(FILTER(A:A, I:I=I472))
)"),37)</f>
        <v>37</v>
      </c>
      <c r="L472" s="36"/>
      <c r="M472" s="36"/>
      <c r="N472" s="36"/>
    </row>
    <row r="473" spans="1:14" ht="15" x14ac:dyDescent="0.25">
      <c r="A473" s="33" t="s">
        <v>50</v>
      </c>
      <c r="B473" s="34">
        <v>45891</v>
      </c>
      <c r="C473" s="35" t="str">
        <f t="shared" si="15"/>
        <v>08-2025</v>
      </c>
      <c r="D473" s="36" t="s">
        <v>35</v>
      </c>
      <c r="E473" s="36" t="s">
        <v>58</v>
      </c>
      <c r="F473" s="37">
        <v>331.45</v>
      </c>
      <c r="G473" s="36" t="s">
        <v>33</v>
      </c>
      <c r="H473" s="37">
        <f t="shared" si="1"/>
        <v>1</v>
      </c>
      <c r="I473" s="37">
        <f t="shared" si="16"/>
        <v>8</v>
      </c>
      <c r="J473" s="37" t="str">
        <f>IF(COUNTIF($A$2:A473,A473)=1,"New","Repeat")</f>
        <v>Repeat</v>
      </c>
      <c r="K473" s="37">
        <f ca="1">IFERROR(__xludf.DUMMYFUNCTION("IF(I473=""4+"",
   COUNTUNIQUE(FILTER(A:A, I:I&gt;=4)),
   COUNTUNIQUE(FILTER(A:A, I:I=I473))
)"),1)</f>
        <v>1</v>
      </c>
      <c r="L473" s="36"/>
      <c r="M473" s="36"/>
      <c r="N473" s="36"/>
    </row>
    <row r="474" spans="1:14" ht="15" x14ac:dyDescent="0.25">
      <c r="A474" s="33" t="s">
        <v>174</v>
      </c>
      <c r="B474" s="34">
        <v>45818</v>
      </c>
      <c r="C474" s="35" t="str">
        <f t="shared" si="15"/>
        <v>06-2025</v>
      </c>
      <c r="D474" s="36" t="s">
        <v>51</v>
      </c>
      <c r="E474" s="36" t="s">
        <v>145</v>
      </c>
      <c r="F474" s="37">
        <v>387.95</v>
      </c>
      <c r="G474" s="36" t="s">
        <v>70</v>
      </c>
      <c r="H474" s="37">
        <f t="shared" si="1"/>
        <v>1</v>
      </c>
      <c r="I474" s="37">
        <f t="shared" si="16"/>
        <v>3</v>
      </c>
      <c r="J474" s="37" t="str">
        <f>IF(COUNTIF($A$2:A474,A474)=1,"New","Repeat")</f>
        <v>Repeat</v>
      </c>
      <c r="K474" s="37">
        <f ca="1">IFERROR(__xludf.DUMMYFUNCTION("IF(I474=""4+"",
   COUNTUNIQUE(FILTER(A:A, I:I&gt;=4)),
   COUNTUNIQUE(FILTER(A:A, I:I=I474))
)"),42)</f>
        <v>42</v>
      </c>
      <c r="L474" s="36"/>
      <c r="M474" s="36"/>
      <c r="N474" s="36"/>
    </row>
    <row r="475" spans="1:14" ht="15" x14ac:dyDescent="0.25">
      <c r="A475" s="33" t="s">
        <v>231</v>
      </c>
      <c r="B475" s="34">
        <v>45720</v>
      </c>
      <c r="C475" s="35" t="str">
        <f t="shared" si="15"/>
        <v>03-2025</v>
      </c>
      <c r="D475" s="36" t="s">
        <v>18</v>
      </c>
      <c r="E475" s="36" t="s">
        <v>21</v>
      </c>
      <c r="F475" s="37">
        <v>37.409999999999997</v>
      </c>
      <c r="G475" s="36" t="s">
        <v>25</v>
      </c>
      <c r="H475" s="37">
        <f t="shared" si="1"/>
        <v>1</v>
      </c>
      <c r="I475" s="37">
        <f t="shared" si="16"/>
        <v>2</v>
      </c>
      <c r="J475" s="37" t="str">
        <f>IF(COUNTIF($A$2:A475,A475)=1,"New","Repeat")</f>
        <v>New</v>
      </c>
      <c r="K475" s="37">
        <f ca="1">IFERROR(__xludf.DUMMYFUNCTION("IF(I475=""4+"",
   COUNTUNIQUE(FILTER(A:A, I:I&gt;=4)),
   COUNTUNIQUE(FILTER(A:A, I:I=I475))
)"),37)</f>
        <v>37</v>
      </c>
      <c r="L475" s="36"/>
      <c r="M475" s="36"/>
      <c r="N475" s="36"/>
    </row>
    <row r="476" spans="1:14" ht="15" x14ac:dyDescent="0.25">
      <c r="A476" s="33" t="s">
        <v>224</v>
      </c>
      <c r="B476" s="34">
        <v>46038</v>
      </c>
      <c r="C476" s="35" t="str">
        <f t="shared" si="15"/>
        <v>01-2026</v>
      </c>
      <c r="D476" s="36" t="s">
        <v>28</v>
      </c>
      <c r="E476" s="36" t="s">
        <v>29</v>
      </c>
      <c r="F476" s="37">
        <v>111.74</v>
      </c>
      <c r="G476" s="36" t="s">
        <v>25</v>
      </c>
      <c r="H476" s="37">
        <f t="shared" si="1"/>
        <v>1</v>
      </c>
      <c r="I476" s="37">
        <f t="shared" si="16"/>
        <v>2</v>
      </c>
      <c r="J476" s="37" t="str">
        <f>IF(COUNTIF($A$2:A476,A476)=1,"New","Repeat")</f>
        <v>Repeat</v>
      </c>
      <c r="K476" s="37">
        <f ca="1">IFERROR(__xludf.DUMMYFUNCTION("IF(I476=""4+"",
   COUNTUNIQUE(FILTER(A:A, I:I&gt;=4)),
   COUNTUNIQUE(FILTER(A:A, I:I=I476))
)"),37)</f>
        <v>37</v>
      </c>
      <c r="L476" s="36"/>
      <c r="M476" s="36"/>
      <c r="N476" s="36"/>
    </row>
    <row r="477" spans="1:14" ht="15" x14ac:dyDescent="0.25">
      <c r="A477" s="33" t="s">
        <v>40</v>
      </c>
      <c r="B477" s="34">
        <v>45995</v>
      </c>
      <c r="C477" s="35" t="str">
        <f t="shared" si="15"/>
        <v>12-2025</v>
      </c>
      <c r="D477" s="36" t="s">
        <v>28</v>
      </c>
      <c r="E477" s="36" t="s">
        <v>29</v>
      </c>
      <c r="F477" s="37">
        <v>56.25</v>
      </c>
      <c r="G477" s="36" t="s">
        <v>16</v>
      </c>
      <c r="H477" s="37">
        <f t="shared" si="1"/>
        <v>1</v>
      </c>
      <c r="I477" s="37">
        <f t="shared" si="16"/>
        <v>5</v>
      </c>
      <c r="J477" s="37" t="str">
        <f>IF(COUNTIF($A$2:A477,A477)=1,"New","Repeat")</f>
        <v>Repeat</v>
      </c>
      <c r="K477" s="37">
        <f ca="1">IFERROR(__xludf.DUMMYFUNCTION("IF(I477=""4+"",
   COUNTUNIQUE(FILTER(A:A, I:I&gt;=4)),
   COUNTUNIQUE(FILTER(A:A, I:I=I477))
)"),34)</f>
        <v>34</v>
      </c>
      <c r="L477" s="36"/>
      <c r="M477" s="36"/>
      <c r="N477" s="36"/>
    </row>
    <row r="478" spans="1:14" ht="15" x14ac:dyDescent="0.25">
      <c r="A478" s="33" t="s">
        <v>194</v>
      </c>
      <c r="B478" s="39">
        <v>45942</v>
      </c>
      <c r="C478" s="35" t="str">
        <f t="shared" si="15"/>
        <v>10-2025</v>
      </c>
      <c r="D478" s="36" t="s">
        <v>14</v>
      </c>
      <c r="E478" s="36" t="s">
        <v>96</v>
      </c>
      <c r="F478" s="37">
        <v>431.53</v>
      </c>
      <c r="G478" s="36" t="s">
        <v>16</v>
      </c>
      <c r="H478" s="37">
        <f t="shared" si="1"/>
        <v>1</v>
      </c>
      <c r="I478" s="37">
        <f t="shared" si="16"/>
        <v>2</v>
      </c>
      <c r="J478" s="37" t="str">
        <f>IF(COUNTIF($A$2:A478,A478)=1,"New","Repeat")</f>
        <v>Repeat</v>
      </c>
      <c r="K478" s="37">
        <f ca="1">IFERROR(__xludf.DUMMYFUNCTION("IF(I478=""4+"",
   COUNTUNIQUE(FILTER(A:A, I:I&gt;=4)),
   COUNTUNIQUE(FILTER(A:A, I:I=I478))
)"),37)</f>
        <v>37</v>
      </c>
      <c r="L478" s="36"/>
      <c r="M478" s="36"/>
      <c r="N478" s="36"/>
    </row>
    <row r="479" spans="1:14" ht="15" x14ac:dyDescent="0.25">
      <c r="A479" s="33" t="s">
        <v>119</v>
      </c>
      <c r="B479" s="34">
        <v>45792</v>
      </c>
      <c r="C479" s="35" t="str">
        <f t="shared" si="15"/>
        <v>05-2025</v>
      </c>
      <c r="D479" s="36" t="s">
        <v>51</v>
      </c>
      <c r="E479" s="36" t="s">
        <v>101</v>
      </c>
      <c r="F479" s="37">
        <v>136.83000000000001</v>
      </c>
      <c r="G479" s="36" t="s">
        <v>25</v>
      </c>
      <c r="H479" s="37">
        <f t="shared" si="1"/>
        <v>1</v>
      </c>
      <c r="I479" s="37">
        <f t="shared" si="16"/>
        <v>6</v>
      </c>
      <c r="J479" s="37" t="str">
        <f>IF(COUNTIF($A$2:A479,A479)=1,"New","Repeat")</f>
        <v>Repeat</v>
      </c>
      <c r="K479" s="37">
        <f ca="1">IFERROR(__xludf.DUMMYFUNCTION("IF(I479=""4+"",
   COUNTUNIQUE(FILTER(A:A, I:I&gt;=4)),
   COUNTUNIQUE(FILTER(A:A, I:I=I479))
)"),19)</f>
        <v>19</v>
      </c>
      <c r="L479" s="36"/>
      <c r="M479" s="36"/>
      <c r="N479" s="36"/>
    </row>
    <row r="480" spans="1:14" ht="15" x14ac:dyDescent="0.25">
      <c r="A480" s="33" t="s">
        <v>150</v>
      </c>
      <c r="B480" s="34">
        <v>45803</v>
      </c>
      <c r="C480" s="35" t="str">
        <f t="shared" si="15"/>
        <v>05-2025</v>
      </c>
      <c r="D480" s="36" t="s">
        <v>51</v>
      </c>
      <c r="E480" s="36" t="s">
        <v>145</v>
      </c>
      <c r="F480" s="37">
        <v>226.43</v>
      </c>
      <c r="G480" s="36" t="s">
        <v>33</v>
      </c>
      <c r="H480" s="37">
        <f t="shared" si="1"/>
        <v>1</v>
      </c>
      <c r="I480" s="37">
        <f t="shared" si="16"/>
        <v>9</v>
      </c>
      <c r="J480" s="37" t="str">
        <f>IF(COUNTIF($A$2:A480,A480)=1,"New","Repeat")</f>
        <v>Repeat</v>
      </c>
      <c r="K480" s="37">
        <f ca="1">IFERROR(__xludf.DUMMYFUNCTION("IF(I480=""4+"",
   COUNTUNIQUE(FILTER(A:A, I:I&gt;=4)),
   COUNTUNIQUE(FILTER(A:A, I:I=I480))
)"),2)</f>
        <v>2</v>
      </c>
      <c r="L480" s="36"/>
      <c r="M480" s="36"/>
      <c r="N480" s="36"/>
    </row>
    <row r="481" spans="1:14" ht="15" x14ac:dyDescent="0.25">
      <c r="A481" s="33" t="s">
        <v>188</v>
      </c>
      <c r="B481" s="34">
        <v>46027</v>
      </c>
      <c r="C481" s="35" t="str">
        <f t="shared" si="15"/>
        <v>01-2026</v>
      </c>
      <c r="D481" s="36" t="s">
        <v>14</v>
      </c>
      <c r="E481" s="36" t="s">
        <v>59</v>
      </c>
      <c r="F481" s="37">
        <v>49.55</v>
      </c>
      <c r="G481" s="36" t="s">
        <v>25</v>
      </c>
      <c r="H481" s="37">
        <f t="shared" si="1"/>
        <v>1</v>
      </c>
      <c r="I481" s="37">
        <f t="shared" si="16"/>
        <v>5</v>
      </c>
      <c r="J481" s="37" t="str">
        <f>IF(COUNTIF($A$2:A481,A481)=1,"New","Repeat")</f>
        <v>Repeat</v>
      </c>
      <c r="K481" s="37">
        <f ca="1">IFERROR(__xludf.DUMMYFUNCTION("IF(I481=""4+"",
   COUNTUNIQUE(FILTER(A:A, I:I&gt;=4)),
   COUNTUNIQUE(FILTER(A:A, I:I=I481))
)"),34)</f>
        <v>34</v>
      </c>
      <c r="L481" s="36"/>
      <c r="M481" s="36"/>
      <c r="N481" s="36"/>
    </row>
    <row r="482" spans="1:14" ht="15" x14ac:dyDescent="0.25">
      <c r="A482" s="33" t="s">
        <v>188</v>
      </c>
      <c r="B482" s="34">
        <v>45732</v>
      </c>
      <c r="C482" s="35" t="str">
        <f t="shared" si="15"/>
        <v>03-2025</v>
      </c>
      <c r="D482" s="36" t="s">
        <v>18</v>
      </c>
      <c r="E482" s="36" t="s">
        <v>47</v>
      </c>
      <c r="F482" s="37">
        <v>185.06</v>
      </c>
      <c r="G482" s="36" t="s">
        <v>33</v>
      </c>
      <c r="H482" s="37">
        <f t="shared" si="1"/>
        <v>1</v>
      </c>
      <c r="I482" s="37">
        <f t="shared" si="16"/>
        <v>5</v>
      </c>
      <c r="J482" s="37" t="str">
        <f>IF(COUNTIF($A$2:A482,A482)=1,"New","Repeat")</f>
        <v>Repeat</v>
      </c>
      <c r="K482" s="37">
        <f ca="1">IFERROR(__xludf.DUMMYFUNCTION("IF(I482=""4+"",
   COUNTUNIQUE(FILTER(A:A, I:I&gt;=4)),
   COUNTUNIQUE(FILTER(A:A, I:I=I482))
)"),34)</f>
        <v>34</v>
      </c>
      <c r="L482" s="36"/>
      <c r="M482" s="36"/>
      <c r="N482" s="36"/>
    </row>
    <row r="483" spans="1:14" ht="15" x14ac:dyDescent="0.25">
      <c r="A483" s="33" t="s">
        <v>150</v>
      </c>
      <c r="B483" s="34">
        <v>45966</v>
      </c>
      <c r="C483" s="35" t="str">
        <f t="shared" si="15"/>
        <v>11-2025</v>
      </c>
      <c r="D483" s="36" t="s">
        <v>51</v>
      </c>
      <c r="E483" s="36" t="s">
        <v>52</v>
      </c>
      <c r="F483" s="37">
        <v>454.39</v>
      </c>
      <c r="G483" s="36" t="s">
        <v>37</v>
      </c>
      <c r="H483" s="37">
        <f t="shared" si="1"/>
        <v>1</v>
      </c>
      <c r="I483" s="37">
        <f t="shared" si="16"/>
        <v>9</v>
      </c>
      <c r="J483" s="37" t="str">
        <f>IF(COUNTIF($A$2:A483,A483)=1,"New","Repeat")</f>
        <v>Repeat</v>
      </c>
      <c r="K483" s="37">
        <f ca="1">IFERROR(__xludf.DUMMYFUNCTION("IF(I483=""4+"",
   COUNTUNIQUE(FILTER(A:A, I:I&gt;=4)),
   COUNTUNIQUE(FILTER(A:A, I:I=I483))
)"),2)</f>
        <v>2</v>
      </c>
      <c r="L483" s="36"/>
      <c r="M483" s="36"/>
      <c r="N483" s="36"/>
    </row>
    <row r="484" spans="1:14" ht="15" x14ac:dyDescent="0.25">
      <c r="A484" s="33" t="s">
        <v>195</v>
      </c>
      <c r="B484" s="34">
        <v>46075</v>
      </c>
      <c r="C484" s="35" t="str">
        <f t="shared" si="15"/>
        <v>02-2026</v>
      </c>
      <c r="D484" s="36" t="s">
        <v>51</v>
      </c>
      <c r="E484" s="36" t="s">
        <v>52</v>
      </c>
      <c r="F484" s="37">
        <v>117.25</v>
      </c>
      <c r="G484" s="36" t="s">
        <v>25</v>
      </c>
      <c r="H484" s="37">
        <f t="shared" si="1"/>
        <v>1</v>
      </c>
      <c r="I484" s="37">
        <f t="shared" si="16"/>
        <v>6</v>
      </c>
      <c r="J484" s="37" t="str">
        <f>IF(COUNTIF($A$2:A484,A484)=1,"New","Repeat")</f>
        <v>Repeat</v>
      </c>
      <c r="K484" s="37">
        <f ca="1">IFERROR(__xludf.DUMMYFUNCTION("IF(I484=""4+"",
   COUNTUNIQUE(FILTER(A:A, I:I&gt;=4)),
   COUNTUNIQUE(FILTER(A:A, I:I=I484))
)"),19)</f>
        <v>19</v>
      </c>
      <c r="L484" s="36"/>
      <c r="M484" s="36"/>
      <c r="N484" s="36"/>
    </row>
    <row r="485" spans="1:14" ht="15" x14ac:dyDescent="0.25">
      <c r="A485" s="33" t="s">
        <v>232</v>
      </c>
      <c r="B485" s="34">
        <v>45870</v>
      </c>
      <c r="C485" s="35" t="str">
        <f t="shared" si="15"/>
        <v>08-2025</v>
      </c>
      <c r="D485" s="36" t="s">
        <v>14</v>
      </c>
      <c r="E485" s="36" t="s">
        <v>96</v>
      </c>
      <c r="F485" s="37">
        <v>245.19</v>
      </c>
      <c r="G485" s="36" t="s">
        <v>37</v>
      </c>
      <c r="H485" s="37">
        <f t="shared" si="1"/>
        <v>0</v>
      </c>
      <c r="I485" s="37">
        <f t="shared" si="16"/>
        <v>1</v>
      </c>
      <c r="J485" s="37" t="str">
        <f>IF(COUNTIF($A$2:A485,A485)=1,"New","Repeat")</f>
        <v>New</v>
      </c>
      <c r="K485" s="37">
        <f ca="1">IFERROR(__xludf.DUMMYFUNCTION("IF(I485=""4+"",
   COUNTUNIQUE(FILTER(A:A, I:I&gt;=4)),
   COUNTUNIQUE(FILTER(A:A, I:I=I485))
)"),24)</f>
        <v>24</v>
      </c>
      <c r="L485" s="36"/>
      <c r="M485" s="36"/>
      <c r="N485" s="36"/>
    </row>
    <row r="486" spans="1:14" ht="15" x14ac:dyDescent="0.25">
      <c r="A486" s="33" t="s">
        <v>164</v>
      </c>
      <c r="B486" s="34">
        <v>45850</v>
      </c>
      <c r="C486" s="35" t="str">
        <f t="shared" si="15"/>
        <v>07-2025</v>
      </c>
      <c r="D486" s="36" t="s">
        <v>14</v>
      </c>
      <c r="E486" s="36" t="s">
        <v>32</v>
      </c>
      <c r="F486" s="37">
        <v>292.11</v>
      </c>
      <c r="G486" s="36" t="s">
        <v>16</v>
      </c>
      <c r="H486" s="37">
        <f t="shared" si="1"/>
        <v>1</v>
      </c>
      <c r="I486" s="37">
        <f t="shared" si="16"/>
        <v>3</v>
      </c>
      <c r="J486" s="37" t="str">
        <f>IF(COUNTIF($A$2:A486,A486)=1,"New","Repeat")</f>
        <v>Repeat</v>
      </c>
      <c r="K486" s="37">
        <f ca="1">IFERROR(__xludf.DUMMYFUNCTION("IF(I486=""4+"",
   COUNTUNIQUE(FILTER(A:A, I:I&gt;=4)),
   COUNTUNIQUE(FILTER(A:A, I:I=I486))
)"),42)</f>
        <v>42</v>
      </c>
      <c r="L486" s="36"/>
      <c r="M486" s="36"/>
      <c r="N486" s="36"/>
    </row>
    <row r="487" spans="1:14" ht="15" x14ac:dyDescent="0.25">
      <c r="A487" s="33" t="s">
        <v>69</v>
      </c>
      <c r="B487" s="34">
        <v>45874</v>
      </c>
      <c r="C487" s="35" t="str">
        <f t="shared" si="15"/>
        <v>08-2025</v>
      </c>
      <c r="D487" s="36" t="s">
        <v>28</v>
      </c>
      <c r="E487" s="36" t="s">
        <v>29</v>
      </c>
      <c r="F487" s="37">
        <v>432.05</v>
      </c>
      <c r="G487" s="36" t="s">
        <v>37</v>
      </c>
      <c r="H487" s="37">
        <f t="shared" si="1"/>
        <v>1</v>
      </c>
      <c r="I487" s="37">
        <f t="shared" si="16"/>
        <v>4</v>
      </c>
      <c r="J487" s="37" t="str">
        <f>IF(COUNTIF($A$2:A487,A487)=1,"New","Repeat")</f>
        <v>Repeat</v>
      </c>
      <c r="K487" s="37">
        <f ca="1">IFERROR(__xludf.DUMMYFUNCTION("IF(I487=""4+"",
   COUNTUNIQUE(FILTER(A:A, I:I&gt;=4)),
   COUNTUNIQUE(FILTER(A:A, I:I=I487))
)"),32)</f>
        <v>32</v>
      </c>
      <c r="L487" s="36"/>
      <c r="M487" s="36"/>
      <c r="N487" s="36"/>
    </row>
    <row r="488" spans="1:14" ht="15" x14ac:dyDescent="0.25">
      <c r="A488" s="33" t="s">
        <v>193</v>
      </c>
      <c r="B488" s="34">
        <v>45901</v>
      </c>
      <c r="C488" s="35" t="str">
        <f t="shared" si="15"/>
        <v>09-2025</v>
      </c>
      <c r="D488" s="36" t="s">
        <v>14</v>
      </c>
      <c r="E488" s="36" t="s">
        <v>32</v>
      </c>
      <c r="F488" s="37">
        <v>176.97</v>
      </c>
      <c r="G488" s="36" t="s">
        <v>30</v>
      </c>
      <c r="H488" s="37">
        <f t="shared" si="1"/>
        <v>1</v>
      </c>
      <c r="I488" s="37">
        <f t="shared" si="16"/>
        <v>5</v>
      </c>
      <c r="J488" s="37" t="str">
        <f>IF(COUNTIF($A$2:A488,A488)=1,"New","Repeat")</f>
        <v>Repeat</v>
      </c>
      <c r="K488" s="37">
        <f ca="1">IFERROR(__xludf.DUMMYFUNCTION("IF(I488=""4+"",
   COUNTUNIQUE(FILTER(A:A, I:I&gt;=4)),
   COUNTUNIQUE(FILTER(A:A, I:I=I488))
)"),34)</f>
        <v>34</v>
      </c>
      <c r="L488" s="36"/>
      <c r="M488" s="36"/>
      <c r="N488" s="36"/>
    </row>
    <row r="489" spans="1:14" ht="15" x14ac:dyDescent="0.25">
      <c r="A489" s="33" t="s">
        <v>233</v>
      </c>
      <c r="B489" s="34">
        <v>45911</v>
      </c>
      <c r="C489" s="35" t="str">
        <f t="shared" si="15"/>
        <v>09-2025</v>
      </c>
      <c r="D489" s="36" t="s">
        <v>28</v>
      </c>
      <c r="E489" s="36" t="s">
        <v>43</v>
      </c>
      <c r="F489" s="37">
        <v>279.60000000000002</v>
      </c>
      <c r="G489" s="36" t="s">
        <v>70</v>
      </c>
      <c r="H489" s="37">
        <f t="shared" si="1"/>
        <v>0</v>
      </c>
      <c r="I489" s="37">
        <f t="shared" si="16"/>
        <v>1</v>
      </c>
      <c r="J489" s="37" t="str">
        <f>IF(COUNTIF($A$2:A489,A489)=1,"New","Repeat")</f>
        <v>New</v>
      </c>
      <c r="K489" s="37">
        <f ca="1">IFERROR(__xludf.DUMMYFUNCTION("IF(I489=""4+"",
   COUNTUNIQUE(FILTER(A:A, I:I&gt;=4)),
   COUNTUNIQUE(FILTER(A:A, I:I=I489))
)"),24)</f>
        <v>24</v>
      </c>
      <c r="L489" s="36"/>
      <c r="M489" s="36"/>
      <c r="N489" s="36"/>
    </row>
    <row r="490" spans="1:14" ht="15" x14ac:dyDescent="0.25">
      <c r="A490" s="33" t="s">
        <v>83</v>
      </c>
      <c r="B490" s="34">
        <v>45806</v>
      </c>
      <c r="C490" s="35" t="str">
        <f t="shared" si="15"/>
        <v>05-2025</v>
      </c>
      <c r="D490" s="36" t="s">
        <v>28</v>
      </c>
      <c r="E490" s="36" t="s">
        <v>87</v>
      </c>
      <c r="F490" s="37">
        <v>64.17</v>
      </c>
      <c r="G490" s="36" t="s">
        <v>25</v>
      </c>
      <c r="H490" s="37">
        <f t="shared" si="1"/>
        <v>1</v>
      </c>
      <c r="I490" s="37">
        <f t="shared" si="16"/>
        <v>4</v>
      </c>
      <c r="J490" s="37" t="str">
        <f>IF(COUNTIF($A$2:A490,A490)=1,"New","Repeat")</f>
        <v>Repeat</v>
      </c>
      <c r="K490" s="37">
        <f ca="1">IFERROR(__xludf.DUMMYFUNCTION("IF(I490=""4+"",
   COUNTUNIQUE(FILTER(A:A, I:I&gt;=4)),
   COUNTUNIQUE(FILTER(A:A, I:I=I490))
)"),32)</f>
        <v>32</v>
      </c>
      <c r="L490" s="36"/>
      <c r="M490" s="36"/>
      <c r="N490" s="36"/>
    </row>
    <row r="491" spans="1:14" ht="15" x14ac:dyDescent="0.25">
      <c r="A491" s="33" t="s">
        <v>133</v>
      </c>
      <c r="B491" s="34">
        <v>45775</v>
      </c>
      <c r="C491" s="35" t="str">
        <f t="shared" si="15"/>
        <v>04-2025</v>
      </c>
      <c r="D491" s="36" t="s">
        <v>35</v>
      </c>
      <c r="E491" s="36" t="s">
        <v>93</v>
      </c>
      <c r="F491" s="37">
        <v>254.1</v>
      </c>
      <c r="G491" s="36" t="s">
        <v>22</v>
      </c>
      <c r="H491" s="37">
        <f t="shared" si="1"/>
        <v>1</v>
      </c>
      <c r="I491" s="37">
        <f t="shared" si="16"/>
        <v>4</v>
      </c>
      <c r="J491" s="37" t="str">
        <f>IF(COUNTIF($A$2:A491,A491)=1,"New","Repeat")</f>
        <v>Repeat</v>
      </c>
      <c r="K491" s="37">
        <f ca="1">IFERROR(__xludf.DUMMYFUNCTION("IF(I491=""4+"",
   COUNTUNIQUE(FILTER(A:A, I:I&gt;=4)),
   COUNTUNIQUE(FILTER(A:A, I:I=I491))
)"),32)</f>
        <v>32</v>
      </c>
      <c r="L491" s="36"/>
      <c r="M491" s="36"/>
      <c r="N491" s="36"/>
    </row>
    <row r="492" spans="1:14" ht="15" x14ac:dyDescent="0.25">
      <c r="A492" s="33" t="s">
        <v>63</v>
      </c>
      <c r="B492" s="34">
        <v>45758</v>
      </c>
      <c r="C492" s="35" t="str">
        <f t="shared" si="15"/>
        <v>04-2025</v>
      </c>
      <c r="D492" s="36" t="s">
        <v>35</v>
      </c>
      <c r="E492" s="36" t="s">
        <v>58</v>
      </c>
      <c r="F492" s="37">
        <v>373.18</v>
      </c>
      <c r="G492" s="36" t="s">
        <v>70</v>
      </c>
      <c r="H492" s="37">
        <f t="shared" si="1"/>
        <v>1</v>
      </c>
      <c r="I492" s="37">
        <f t="shared" si="16"/>
        <v>6</v>
      </c>
      <c r="J492" s="37" t="str">
        <f>IF(COUNTIF($A$2:A492,A492)=1,"New","Repeat")</f>
        <v>Repeat</v>
      </c>
      <c r="K492" s="37">
        <f ca="1">IFERROR(__xludf.DUMMYFUNCTION("IF(I492=""4+"",
   COUNTUNIQUE(FILTER(A:A, I:I&gt;=4)),
   COUNTUNIQUE(FILTER(A:A, I:I=I492))
)"),19)</f>
        <v>19</v>
      </c>
      <c r="L492" s="36"/>
      <c r="M492" s="36"/>
      <c r="N492" s="36"/>
    </row>
    <row r="493" spans="1:14" ht="15" x14ac:dyDescent="0.25">
      <c r="A493" s="33" t="s">
        <v>81</v>
      </c>
      <c r="B493" s="34">
        <v>45925</v>
      </c>
      <c r="C493" s="35" t="str">
        <f t="shared" si="15"/>
        <v>09-2025</v>
      </c>
      <c r="D493" s="36" t="s">
        <v>35</v>
      </c>
      <c r="E493" s="36" t="s">
        <v>39</v>
      </c>
      <c r="F493" s="37">
        <v>161.63</v>
      </c>
      <c r="G493" s="36" t="s">
        <v>30</v>
      </c>
      <c r="H493" s="37">
        <f t="shared" si="1"/>
        <v>1</v>
      </c>
      <c r="I493" s="37">
        <f t="shared" si="16"/>
        <v>10</v>
      </c>
      <c r="J493" s="37" t="str">
        <f>IF(COUNTIF($A$2:A493,A493)=1,"New","Repeat")</f>
        <v>Repeat</v>
      </c>
      <c r="K493" s="37">
        <f ca="1">IFERROR(__xludf.DUMMYFUNCTION("IF(I493=""4+"",
   COUNTUNIQUE(FILTER(A:A, I:I&gt;=4)),
   COUNTUNIQUE(FILTER(A:A, I:I=I493))
)"),1)</f>
        <v>1</v>
      </c>
      <c r="L493" s="36"/>
      <c r="M493" s="36"/>
      <c r="N493" s="36"/>
    </row>
    <row r="494" spans="1:14" ht="15" x14ac:dyDescent="0.25">
      <c r="A494" s="33" t="s">
        <v>94</v>
      </c>
      <c r="B494" s="34">
        <v>45754</v>
      </c>
      <c r="C494" s="35" t="str">
        <f t="shared" si="15"/>
        <v>04-2025</v>
      </c>
      <c r="D494" s="36" t="s">
        <v>18</v>
      </c>
      <c r="E494" s="36" t="s">
        <v>47</v>
      </c>
      <c r="F494" s="37">
        <v>82.96</v>
      </c>
      <c r="G494" s="36" t="s">
        <v>70</v>
      </c>
      <c r="H494" s="37">
        <f t="shared" si="1"/>
        <v>1</v>
      </c>
      <c r="I494" s="37">
        <f t="shared" si="16"/>
        <v>2</v>
      </c>
      <c r="J494" s="37" t="str">
        <f>IF(COUNTIF($A$2:A494,A494)=1,"New","Repeat")</f>
        <v>Repeat</v>
      </c>
      <c r="K494" s="37">
        <f ca="1">IFERROR(__xludf.DUMMYFUNCTION("IF(I494=""4+"",
   COUNTUNIQUE(FILTER(A:A, I:I&gt;=4)),
   COUNTUNIQUE(FILTER(A:A, I:I=I494))
)"),37)</f>
        <v>37</v>
      </c>
      <c r="L494" s="36"/>
      <c r="M494" s="36"/>
      <c r="N494" s="36"/>
    </row>
    <row r="495" spans="1:14" ht="15" x14ac:dyDescent="0.25">
      <c r="A495" s="33" t="s">
        <v>186</v>
      </c>
      <c r="B495" s="34">
        <v>45764</v>
      </c>
      <c r="C495" s="35" t="str">
        <f t="shared" si="15"/>
        <v>04-2025</v>
      </c>
      <c r="D495" s="36" t="s">
        <v>18</v>
      </c>
      <c r="E495" s="36" t="s">
        <v>24</v>
      </c>
      <c r="F495" s="37">
        <v>210.28</v>
      </c>
      <c r="G495" s="36" t="s">
        <v>16</v>
      </c>
      <c r="H495" s="37">
        <f t="shared" si="1"/>
        <v>1</v>
      </c>
      <c r="I495" s="37">
        <f t="shared" si="16"/>
        <v>4</v>
      </c>
      <c r="J495" s="37" t="str">
        <f>IF(COUNTIF($A$2:A495,A495)=1,"New","Repeat")</f>
        <v>Repeat</v>
      </c>
      <c r="K495" s="37">
        <f ca="1">IFERROR(__xludf.DUMMYFUNCTION("IF(I495=""4+"",
   COUNTUNIQUE(FILTER(A:A, I:I&gt;=4)),
   COUNTUNIQUE(FILTER(A:A, I:I=I495))
)"),32)</f>
        <v>32</v>
      </c>
      <c r="L495" s="36"/>
      <c r="M495" s="36"/>
      <c r="N495" s="36"/>
    </row>
    <row r="496" spans="1:14" ht="15" x14ac:dyDescent="0.25">
      <c r="A496" s="33" t="s">
        <v>118</v>
      </c>
      <c r="B496" s="39">
        <v>45987</v>
      </c>
      <c r="C496" s="35" t="str">
        <f t="shared" si="15"/>
        <v>11-2025</v>
      </c>
      <c r="D496" s="36" t="s">
        <v>35</v>
      </c>
      <c r="E496" s="36" t="s">
        <v>36</v>
      </c>
      <c r="F496" s="37">
        <v>143.75</v>
      </c>
      <c r="G496" s="36" t="s">
        <v>33</v>
      </c>
      <c r="H496" s="37">
        <f t="shared" si="1"/>
        <v>1</v>
      </c>
      <c r="I496" s="37">
        <f t="shared" si="16"/>
        <v>5</v>
      </c>
      <c r="J496" s="37" t="str">
        <f>IF(COUNTIF($A$2:A496,A496)=1,"New","Repeat")</f>
        <v>Repeat</v>
      </c>
      <c r="K496" s="37">
        <f ca="1">IFERROR(__xludf.DUMMYFUNCTION("IF(I496=""4+"",
   COUNTUNIQUE(FILTER(A:A, I:I&gt;=4)),
   COUNTUNIQUE(FILTER(A:A, I:I=I496))
)"),34)</f>
        <v>34</v>
      </c>
      <c r="L496" s="36"/>
      <c r="M496" s="36"/>
      <c r="N496" s="36"/>
    </row>
    <row r="497" spans="1:14" ht="15" x14ac:dyDescent="0.25">
      <c r="A497" s="33" t="s">
        <v>132</v>
      </c>
      <c r="B497" s="39">
        <v>45980</v>
      </c>
      <c r="C497" s="35" t="str">
        <f t="shared" si="15"/>
        <v>11-2025</v>
      </c>
      <c r="D497" s="36" t="s">
        <v>14</v>
      </c>
      <c r="E497" s="36" t="s">
        <v>15</v>
      </c>
      <c r="F497" s="37">
        <v>426.24</v>
      </c>
      <c r="G497" s="36" t="s">
        <v>33</v>
      </c>
      <c r="H497" s="37">
        <f t="shared" si="1"/>
        <v>1</v>
      </c>
      <c r="I497" s="37">
        <f t="shared" si="16"/>
        <v>4</v>
      </c>
      <c r="J497" s="37" t="str">
        <f>IF(COUNTIF($A$2:A497,A497)=1,"New","Repeat")</f>
        <v>Repeat</v>
      </c>
      <c r="K497" s="37">
        <f ca="1">IFERROR(__xludf.DUMMYFUNCTION("IF(I497=""4+"",
   COUNTUNIQUE(FILTER(A:A, I:I&gt;=4)),
   COUNTUNIQUE(FILTER(A:A, I:I=I497))
)"),32)</f>
        <v>32</v>
      </c>
      <c r="L497" s="36"/>
      <c r="M497" s="36"/>
      <c r="N497" s="36"/>
    </row>
    <row r="498" spans="1:14" ht="15" x14ac:dyDescent="0.25">
      <c r="A498" s="33" t="s">
        <v>20</v>
      </c>
      <c r="B498" s="34">
        <v>45713</v>
      </c>
      <c r="C498" s="35" t="str">
        <f t="shared" si="15"/>
        <v>02-2025</v>
      </c>
      <c r="D498" s="36" t="s">
        <v>28</v>
      </c>
      <c r="E498" s="36" t="s">
        <v>29</v>
      </c>
      <c r="F498" s="37">
        <v>325.52999999999997</v>
      </c>
      <c r="G498" s="36" t="s">
        <v>22</v>
      </c>
      <c r="H498" s="37">
        <f t="shared" si="1"/>
        <v>1</v>
      </c>
      <c r="I498" s="37">
        <f t="shared" si="16"/>
        <v>5</v>
      </c>
      <c r="J498" s="37" t="str">
        <f>IF(COUNTIF($A$2:A498,A498)=1,"New","Repeat")</f>
        <v>Repeat</v>
      </c>
      <c r="K498" s="37">
        <f ca="1">IFERROR(__xludf.DUMMYFUNCTION("IF(I498=""4+"",
   COUNTUNIQUE(FILTER(A:A, I:I&gt;=4)),
   COUNTUNIQUE(FILTER(A:A, I:I=I498))
)"),34)</f>
        <v>34</v>
      </c>
      <c r="L498" s="36"/>
      <c r="M498" s="36"/>
      <c r="N498" s="36"/>
    </row>
    <row r="499" spans="1:14" ht="15" x14ac:dyDescent="0.25">
      <c r="A499" s="33" t="s">
        <v>82</v>
      </c>
      <c r="B499" s="34">
        <v>45781</v>
      </c>
      <c r="C499" s="35" t="str">
        <f t="shared" si="15"/>
        <v>05-2025</v>
      </c>
      <c r="D499" s="36" t="s">
        <v>51</v>
      </c>
      <c r="E499" s="36" t="s">
        <v>101</v>
      </c>
      <c r="F499" s="37">
        <v>237.13</v>
      </c>
      <c r="G499" s="36" t="s">
        <v>16</v>
      </c>
      <c r="H499" s="37">
        <f t="shared" si="1"/>
        <v>1</v>
      </c>
      <c r="I499" s="37">
        <f t="shared" si="16"/>
        <v>5</v>
      </c>
      <c r="J499" s="37" t="str">
        <f>IF(COUNTIF($A$2:A499,A499)=1,"New","Repeat")</f>
        <v>Repeat</v>
      </c>
      <c r="K499" s="37">
        <f ca="1">IFERROR(__xludf.DUMMYFUNCTION("IF(I499=""4+"",
   COUNTUNIQUE(FILTER(A:A, I:I&gt;=4)),
   COUNTUNIQUE(FILTER(A:A, I:I=I499))
)"),34)</f>
        <v>34</v>
      </c>
      <c r="L499" s="36"/>
      <c r="M499" s="36"/>
      <c r="N499" s="36"/>
    </row>
    <row r="500" spans="1:14" ht="15" x14ac:dyDescent="0.25">
      <c r="A500" s="33" t="s">
        <v>40</v>
      </c>
      <c r="B500" s="34">
        <v>45720</v>
      </c>
      <c r="C500" s="35" t="str">
        <f t="shared" si="15"/>
        <v>03-2025</v>
      </c>
      <c r="D500" s="36" t="s">
        <v>51</v>
      </c>
      <c r="E500" s="36" t="s">
        <v>101</v>
      </c>
      <c r="F500" s="37">
        <v>98.36</v>
      </c>
      <c r="G500" s="36" t="s">
        <v>22</v>
      </c>
      <c r="H500" s="37">
        <f t="shared" si="1"/>
        <v>1</v>
      </c>
      <c r="I500" s="37">
        <f t="shared" si="16"/>
        <v>5</v>
      </c>
      <c r="J500" s="37" t="str">
        <f>IF(COUNTIF($A$2:A500,A500)=1,"New","Repeat")</f>
        <v>Repeat</v>
      </c>
      <c r="K500" s="37">
        <f ca="1">IFERROR(__xludf.DUMMYFUNCTION("IF(I500=""4+"",
   COUNTUNIQUE(FILTER(A:A, I:I&gt;=4)),
   COUNTUNIQUE(FILTER(A:A, I:I=I500))
)"),34)</f>
        <v>34</v>
      </c>
      <c r="L500" s="36"/>
      <c r="M500" s="36"/>
      <c r="N500" s="36"/>
    </row>
    <row r="501" spans="1:14" ht="15" x14ac:dyDescent="0.25">
      <c r="A501" s="33" t="s">
        <v>97</v>
      </c>
      <c r="B501" s="34">
        <v>45823</v>
      </c>
      <c r="C501" s="35" t="str">
        <f t="shared" si="15"/>
        <v>06-2025</v>
      </c>
      <c r="D501" s="36" t="s">
        <v>51</v>
      </c>
      <c r="E501" s="36" t="s">
        <v>72</v>
      </c>
      <c r="F501" s="37">
        <v>353.37</v>
      </c>
      <c r="G501" s="36" t="s">
        <v>30</v>
      </c>
      <c r="H501" s="37">
        <f t="shared" si="1"/>
        <v>1</v>
      </c>
      <c r="I501" s="37">
        <f t="shared" si="16"/>
        <v>5</v>
      </c>
      <c r="J501" s="37" t="str">
        <f>IF(COUNTIF($A$2:A501,A501)=1,"New","Repeat")</f>
        <v>Repeat</v>
      </c>
      <c r="K501" s="37">
        <f ca="1">IFERROR(__xludf.DUMMYFUNCTION("IF(I501=""4+"",
   COUNTUNIQUE(FILTER(A:A, I:I&gt;=4)),
   COUNTUNIQUE(FILTER(A:A, I:I=I501))
)"),34)</f>
        <v>34</v>
      </c>
      <c r="L501" s="36"/>
      <c r="M501" s="36"/>
      <c r="N501" s="36"/>
    </row>
    <row r="502" spans="1:14" ht="15" x14ac:dyDescent="0.25">
      <c r="A502" s="33" t="s">
        <v>100</v>
      </c>
      <c r="B502" s="34">
        <v>46024</v>
      </c>
      <c r="C502" s="35" t="str">
        <f t="shared" si="15"/>
        <v>01-2026</v>
      </c>
      <c r="D502" s="36" t="s">
        <v>35</v>
      </c>
      <c r="E502" s="36" t="s">
        <v>54</v>
      </c>
      <c r="F502" s="37">
        <v>146.5</v>
      </c>
      <c r="G502" s="36" t="s">
        <v>70</v>
      </c>
      <c r="H502" s="37">
        <f t="shared" si="1"/>
        <v>1</v>
      </c>
      <c r="I502" s="37">
        <f t="shared" si="16"/>
        <v>6</v>
      </c>
      <c r="J502" s="37" t="str">
        <f>IF(COUNTIF($A$2:A502,A502)=1,"New","Repeat")</f>
        <v>Repeat</v>
      </c>
      <c r="K502" s="37">
        <f ca="1">IFERROR(__xludf.DUMMYFUNCTION("IF(I502=""4+"",
   COUNTUNIQUE(FILTER(A:A, I:I&gt;=4)),
   COUNTUNIQUE(FILTER(A:A, I:I=I502))
)"),19)</f>
        <v>19</v>
      </c>
      <c r="L502" s="36"/>
      <c r="M502" s="36"/>
      <c r="N502" s="36"/>
    </row>
    <row r="503" spans="1:14" ht="15" x14ac:dyDescent="0.25">
      <c r="A503" s="33" t="s">
        <v>60</v>
      </c>
      <c r="B503" s="34">
        <v>45911</v>
      </c>
      <c r="C503" s="35" t="str">
        <f t="shared" si="15"/>
        <v>09-2025</v>
      </c>
      <c r="D503" s="36" t="s">
        <v>35</v>
      </c>
      <c r="E503" s="36" t="s">
        <v>93</v>
      </c>
      <c r="F503" s="37">
        <v>103.3</v>
      </c>
      <c r="G503" s="36" t="s">
        <v>37</v>
      </c>
      <c r="H503" s="37">
        <f t="shared" si="1"/>
        <v>1</v>
      </c>
      <c r="I503" s="37">
        <f t="shared" si="16"/>
        <v>2</v>
      </c>
      <c r="J503" s="37" t="str">
        <f>IF(COUNTIF($A$2:A503,A503)=1,"New","Repeat")</f>
        <v>Repeat</v>
      </c>
      <c r="K503" s="37">
        <f ca="1">IFERROR(__xludf.DUMMYFUNCTION("IF(I503=""4+"",
   COUNTUNIQUE(FILTER(A:A, I:I&gt;=4)),
   COUNTUNIQUE(FILTER(A:A, I:I=I503))
)"),37)</f>
        <v>37</v>
      </c>
      <c r="L503" s="36"/>
      <c r="M503" s="36"/>
      <c r="N503" s="36"/>
    </row>
    <row r="504" spans="1:14" ht="15" x14ac:dyDescent="0.25">
      <c r="A504" s="33" t="s">
        <v>216</v>
      </c>
      <c r="B504" s="34">
        <v>45756</v>
      </c>
      <c r="C504" s="35" t="str">
        <f t="shared" si="15"/>
        <v>04-2025</v>
      </c>
      <c r="D504" s="36" t="s">
        <v>18</v>
      </c>
      <c r="E504" s="36" t="s">
        <v>19</v>
      </c>
      <c r="F504" s="37">
        <v>32.49</v>
      </c>
      <c r="G504" s="36" t="s">
        <v>70</v>
      </c>
      <c r="H504" s="37">
        <f t="shared" si="1"/>
        <v>1</v>
      </c>
      <c r="I504" s="37">
        <f t="shared" si="16"/>
        <v>6</v>
      </c>
      <c r="J504" s="37" t="str">
        <f>IF(COUNTIF($A$2:A504,A504)=1,"New","Repeat")</f>
        <v>Repeat</v>
      </c>
      <c r="K504" s="37">
        <f ca="1">IFERROR(__xludf.DUMMYFUNCTION("IF(I504=""4+"",
   COUNTUNIQUE(FILTER(A:A, I:I&gt;=4)),
   COUNTUNIQUE(FILTER(A:A, I:I=I504))
)"),19)</f>
        <v>19</v>
      </c>
      <c r="L504" s="36"/>
      <c r="M504" s="36"/>
      <c r="N504" s="36"/>
    </row>
    <row r="505" spans="1:14" ht="15" x14ac:dyDescent="0.25">
      <c r="A505" s="33" t="s">
        <v>234</v>
      </c>
      <c r="B505" s="34">
        <v>45769</v>
      </c>
      <c r="C505" s="35" t="str">
        <f t="shared" si="15"/>
        <v>04-2025</v>
      </c>
      <c r="D505" s="36" t="s">
        <v>28</v>
      </c>
      <c r="E505" s="36" t="s">
        <v>29</v>
      </c>
      <c r="F505" s="37">
        <v>181.88</v>
      </c>
      <c r="G505" s="36" t="s">
        <v>30</v>
      </c>
      <c r="H505" s="37">
        <f t="shared" si="1"/>
        <v>1</v>
      </c>
      <c r="I505" s="37">
        <f t="shared" si="16"/>
        <v>3</v>
      </c>
      <c r="J505" s="37" t="str">
        <f>IF(COUNTIF($A$2:A505,A505)=1,"New","Repeat")</f>
        <v>New</v>
      </c>
      <c r="K505" s="37">
        <f ca="1">IFERROR(__xludf.DUMMYFUNCTION("IF(I505=""4+"",
   COUNTUNIQUE(FILTER(A:A, I:I&gt;=4)),
   COUNTUNIQUE(FILTER(A:A, I:I=I505))
)"),42)</f>
        <v>42</v>
      </c>
      <c r="L505" s="36"/>
      <c r="M505" s="36"/>
      <c r="N505" s="36"/>
    </row>
    <row r="506" spans="1:14" ht="15" x14ac:dyDescent="0.25">
      <c r="A506" s="33" t="s">
        <v>131</v>
      </c>
      <c r="B506" s="34">
        <v>45827</v>
      </c>
      <c r="C506" s="35" t="str">
        <f t="shared" si="15"/>
        <v>06-2025</v>
      </c>
      <c r="D506" s="36" t="s">
        <v>28</v>
      </c>
      <c r="E506" s="36" t="s">
        <v>74</v>
      </c>
      <c r="F506" s="37">
        <v>412.42</v>
      </c>
      <c r="G506" s="36" t="s">
        <v>30</v>
      </c>
      <c r="H506" s="37">
        <f t="shared" si="1"/>
        <v>1</v>
      </c>
      <c r="I506" s="37">
        <f t="shared" si="16"/>
        <v>2</v>
      </c>
      <c r="J506" s="37" t="str">
        <f>IF(COUNTIF($A$2:A506,A506)=1,"New","Repeat")</f>
        <v>Repeat</v>
      </c>
      <c r="K506" s="37">
        <f ca="1">IFERROR(__xludf.DUMMYFUNCTION("IF(I506=""4+"",
   COUNTUNIQUE(FILTER(A:A, I:I&gt;=4)),
   COUNTUNIQUE(FILTER(A:A, I:I=I506))
)"),37)</f>
        <v>37</v>
      </c>
      <c r="L506" s="36"/>
      <c r="M506" s="36"/>
      <c r="N506" s="36"/>
    </row>
    <row r="507" spans="1:14" ht="15" x14ac:dyDescent="0.25">
      <c r="A507" s="33" t="s">
        <v>127</v>
      </c>
      <c r="B507" s="34">
        <v>46030</v>
      </c>
      <c r="C507" s="35" t="str">
        <f t="shared" si="15"/>
        <v>01-2026</v>
      </c>
      <c r="D507" s="36" t="s">
        <v>35</v>
      </c>
      <c r="E507" s="36" t="s">
        <v>58</v>
      </c>
      <c r="F507" s="37">
        <v>431.8</v>
      </c>
      <c r="G507" s="36" t="s">
        <v>16</v>
      </c>
      <c r="H507" s="37">
        <f t="shared" si="1"/>
        <v>1</v>
      </c>
      <c r="I507" s="37">
        <f t="shared" si="16"/>
        <v>5</v>
      </c>
      <c r="J507" s="37" t="str">
        <f>IF(COUNTIF($A$2:A507,A507)=1,"New","Repeat")</f>
        <v>Repeat</v>
      </c>
      <c r="K507" s="37">
        <f ca="1">IFERROR(__xludf.DUMMYFUNCTION("IF(I507=""4+"",
   COUNTUNIQUE(FILTER(A:A, I:I&gt;=4)),
   COUNTUNIQUE(FILTER(A:A, I:I=I507))
)"),34)</f>
        <v>34</v>
      </c>
      <c r="L507" s="36"/>
      <c r="M507" s="36"/>
      <c r="N507" s="36"/>
    </row>
    <row r="508" spans="1:14" ht="15" x14ac:dyDescent="0.25">
      <c r="A508" s="33" t="s">
        <v>162</v>
      </c>
      <c r="B508" s="34">
        <v>45853</v>
      </c>
      <c r="C508" s="35" t="str">
        <f t="shared" si="15"/>
        <v>07-2025</v>
      </c>
      <c r="D508" s="36" t="s">
        <v>51</v>
      </c>
      <c r="E508" s="36" t="s">
        <v>72</v>
      </c>
      <c r="F508" s="37">
        <v>302.52</v>
      </c>
      <c r="G508" s="36" t="s">
        <v>33</v>
      </c>
      <c r="H508" s="37">
        <f t="shared" si="1"/>
        <v>1</v>
      </c>
      <c r="I508" s="37">
        <f t="shared" si="16"/>
        <v>5</v>
      </c>
      <c r="J508" s="37" t="str">
        <f>IF(COUNTIF($A$2:A508,A508)=1,"New","Repeat")</f>
        <v>Repeat</v>
      </c>
      <c r="K508" s="37">
        <f ca="1">IFERROR(__xludf.DUMMYFUNCTION("IF(I508=""4+"",
   COUNTUNIQUE(FILTER(A:A, I:I&gt;=4)),
   COUNTUNIQUE(FILTER(A:A, I:I=I508))
)"),34)</f>
        <v>34</v>
      </c>
      <c r="L508" s="36"/>
      <c r="M508" s="36"/>
      <c r="N508" s="36"/>
    </row>
    <row r="509" spans="1:14" ht="15" x14ac:dyDescent="0.25">
      <c r="A509" s="33" t="s">
        <v>152</v>
      </c>
      <c r="B509" s="34">
        <v>45835</v>
      </c>
      <c r="C509" s="35" t="str">
        <f t="shared" si="15"/>
        <v>06-2025</v>
      </c>
      <c r="D509" s="36" t="s">
        <v>14</v>
      </c>
      <c r="E509" s="36" t="s">
        <v>96</v>
      </c>
      <c r="F509" s="37">
        <v>443.86</v>
      </c>
      <c r="G509" s="36" t="s">
        <v>37</v>
      </c>
      <c r="H509" s="37">
        <f t="shared" si="1"/>
        <v>1</v>
      </c>
      <c r="I509" s="37">
        <f t="shared" si="16"/>
        <v>5</v>
      </c>
      <c r="J509" s="37" t="str">
        <f>IF(COUNTIF($A$2:A509,A509)=1,"New","Repeat")</f>
        <v>Repeat</v>
      </c>
      <c r="K509" s="37">
        <f ca="1">IFERROR(__xludf.DUMMYFUNCTION("IF(I509=""4+"",
   COUNTUNIQUE(FILTER(A:A, I:I&gt;=4)),
   COUNTUNIQUE(FILTER(A:A, I:I=I509))
)"),34)</f>
        <v>34</v>
      </c>
      <c r="L509" s="36"/>
      <c r="M509" s="36"/>
      <c r="N509" s="36"/>
    </row>
    <row r="510" spans="1:14" ht="15" x14ac:dyDescent="0.25">
      <c r="A510" s="33" t="s">
        <v>198</v>
      </c>
      <c r="B510" s="39">
        <v>45982</v>
      </c>
      <c r="C510" s="35" t="str">
        <f t="shared" si="15"/>
        <v>11-2025</v>
      </c>
      <c r="D510" s="36" t="s">
        <v>14</v>
      </c>
      <c r="E510" s="36" t="s">
        <v>15</v>
      </c>
      <c r="F510" s="37">
        <v>142.18</v>
      </c>
      <c r="G510" s="36" t="s">
        <v>37</v>
      </c>
      <c r="H510" s="37">
        <f t="shared" si="1"/>
        <v>1</v>
      </c>
      <c r="I510" s="37">
        <f t="shared" si="16"/>
        <v>6</v>
      </c>
      <c r="J510" s="37" t="str">
        <f>IF(COUNTIF($A$2:A510,A510)=1,"New","Repeat")</f>
        <v>Repeat</v>
      </c>
      <c r="K510" s="37">
        <f ca="1">IFERROR(__xludf.DUMMYFUNCTION("IF(I510=""4+"",
   COUNTUNIQUE(FILTER(A:A, I:I&gt;=4)),
   COUNTUNIQUE(FILTER(A:A, I:I=I510))
)"),19)</f>
        <v>19</v>
      </c>
      <c r="L510" s="36"/>
      <c r="M510" s="36"/>
      <c r="N510" s="36"/>
    </row>
    <row r="511" spans="1:14" ht="15" x14ac:dyDescent="0.25">
      <c r="A511" s="33" t="s">
        <v>56</v>
      </c>
      <c r="B511" s="39">
        <v>45991</v>
      </c>
      <c r="C511" s="35" t="str">
        <f t="shared" si="15"/>
        <v>11-2025</v>
      </c>
      <c r="D511" s="36" t="s">
        <v>14</v>
      </c>
      <c r="E511" s="36" t="s">
        <v>32</v>
      </c>
      <c r="F511" s="37">
        <v>426.57</v>
      </c>
      <c r="G511" s="36" t="s">
        <v>16</v>
      </c>
      <c r="H511" s="37">
        <f t="shared" si="1"/>
        <v>1</v>
      </c>
      <c r="I511" s="37">
        <f t="shared" si="16"/>
        <v>4</v>
      </c>
      <c r="J511" s="37" t="str">
        <f>IF(COUNTIF($A$2:A511,A511)=1,"New","Repeat")</f>
        <v>Repeat</v>
      </c>
      <c r="K511" s="37">
        <f ca="1">IFERROR(__xludf.DUMMYFUNCTION("IF(I511=""4+"",
   COUNTUNIQUE(FILTER(A:A, I:I&gt;=4)),
   COUNTUNIQUE(FILTER(A:A, I:I=I511))
)"),32)</f>
        <v>32</v>
      </c>
      <c r="L511" s="36"/>
      <c r="M511" s="36"/>
      <c r="N511" s="36"/>
    </row>
    <row r="512" spans="1:14" ht="15" x14ac:dyDescent="0.25">
      <c r="A512" s="33" t="s">
        <v>141</v>
      </c>
      <c r="B512" s="34">
        <v>45918</v>
      </c>
      <c r="C512" s="35" t="str">
        <f t="shared" si="15"/>
        <v>09-2025</v>
      </c>
      <c r="D512" s="36" t="s">
        <v>28</v>
      </c>
      <c r="E512" s="36" t="s">
        <v>29</v>
      </c>
      <c r="F512" s="37">
        <v>320.55</v>
      </c>
      <c r="G512" s="36" t="s">
        <v>70</v>
      </c>
      <c r="H512" s="37">
        <f t="shared" si="1"/>
        <v>1</v>
      </c>
      <c r="I512" s="37">
        <f t="shared" si="16"/>
        <v>3</v>
      </c>
      <c r="J512" s="37" t="str">
        <f>IF(COUNTIF($A$2:A512,A512)=1,"New","Repeat")</f>
        <v>Repeat</v>
      </c>
      <c r="K512" s="37">
        <f ca="1">IFERROR(__xludf.DUMMYFUNCTION("IF(I512=""4+"",
   COUNTUNIQUE(FILTER(A:A, I:I&gt;=4)),
   COUNTUNIQUE(FILTER(A:A, I:I=I512))
)"),42)</f>
        <v>42</v>
      </c>
      <c r="L512" s="36"/>
      <c r="M512" s="36"/>
      <c r="N512" s="36"/>
    </row>
    <row r="513" spans="1:14" ht="15" x14ac:dyDescent="0.25">
      <c r="A513" s="33" t="s">
        <v>163</v>
      </c>
      <c r="B513" s="34">
        <v>45816</v>
      </c>
      <c r="C513" s="35" t="str">
        <f t="shared" si="15"/>
        <v>06-2025</v>
      </c>
      <c r="D513" s="36" t="s">
        <v>14</v>
      </c>
      <c r="E513" s="36" t="s">
        <v>32</v>
      </c>
      <c r="F513" s="37">
        <v>452.79</v>
      </c>
      <c r="G513" s="36" t="s">
        <v>25</v>
      </c>
      <c r="H513" s="37">
        <f t="shared" si="1"/>
        <v>1</v>
      </c>
      <c r="I513" s="37">
        <f t="shared" si="16"/>
        <v>4</v>
      </c>
      <c r="J513" s="37" t="str">
        <f>IF(COUNTIF($A$2:A513,A513)=1,"New","Repeat")</f>
        <v>Repeat</v>
      </c>
      <c r="K513" s="37">
        <f ca="1">IFERROR(__xludf.DUMMYFUNCTION("IF(I513=""4+"",
   COUNTUNIQUE(FILTER(A:A, I:I&gt;=4)),
   COUNTUNIQUE(FILTER(A:A, I:I=I513))
)"),32)</f>
        <v>32</v>
      </c>
      <c r="L513" s="36"/>
      <c r="M513" s="36"/>
      <c r="N513" s="36"/>
    </row>
    <row r="514" spans="1:14" ht="15" x14ac:dyDescent="0.25">
      <c r="A514" s="33" t="s">
        <v>175</v>
      </c>
      <c r="B514" s="34">
        <v>45811</v>
      </c>
      <c r="C514" s="35" t="str">
        <f t="shared" ref="C514:C577" si="17">TEXT(B:B, "mm-yyyy")</f>
        <v>06-2025</v>
      </c>
      <c r="D514" s="36" t="s">
        <v>35</v>
      </c>
      <c r="E514" s="36" t="s">
        <v>93</v>
      </c>
      <c r="F514" s="37">
        <v>418.22</v>
      </c>
      <c r="G514" s="36" t="s">
        <v>70</v>
      </c>
      <c r="H514" s="37">
        <f t="shared" si="1"/>
        <v>1</v>
      </c>
      <c r="I514" s="37">
        <f t="shared" ref="I514:I577" si="18">COUNTIF($A:$A, A514)</f>
        <v>4</v>
      </c>
      <c r="J514" s="37" t="str">
        <f>IF(COUNTIF($A$2:A514,A514)=1,"New","Repeat")</f>
        <v>Repeat</v>
      </c>
      <c r="K514" s="37">
        <f ca="1">IFERROR(__xludf.DUMMYFUNCTION("IF(I514=""4+"",
   COUNTUNIQUE(FILTER(A:A, I:I&gt;=4)),
   COUNTUNIQUE(FILTER(A:A, I:I=I514))
)"),32)</f>
        <v>32</v>
      </c>
      <c r="L514" s="36"/>
      <c r="M514" s="36"/>
      <c r="N514" s="36"/>
    </row>
    <row r="515" spans="1:14" ht="15" x14ac:dyDescent="0.25">
      <c r="A515" s="33" t="s">
        <v>235</v>
      </c>
      <c r="B515" s="34">
        <v>45932</v>
      </c>
      <c r="C515" s="35" t="str">
        <f t="shared" si="17"/>
        <v>10-2025</v>
      </c>
      <c r="D515" s="36" t="s">
        <v>51</v>
      </c>
      <c r="E515" s="36" t="s">
        <v>72</v>
      </c>
      <c r="F515" s="37">
        <v>412.55</v>
      </c>
      <c r="G515" s="36" t="s">
        <v>25</v>
      </c>
      <c r="H515" s="37">
        <f t="shared" si="1"/>
        <v>1</v>
      </c>
      <c r="I515" s="37">
        <f t="shared" si="18"/>
        <v>2</v>
      </c>
      <c r="J515" s="37" t="str">
        <f>IF(COUNTIF($A$2:A515,A515)=1,"New","Repeat")</f>
        <v>New</v>
      </c>
      <c r="K515" s="37">
        <f ca="1">IFERROR(__xludf.DUMMYFUNCTION("IF(I515=""4+"",
   COUNTUNIQUE(FILTER(A:A, I:I&gt;=4)),
   COUNTUNIQUE(FILTER(A:A, I:I=I515))
)"),37)</f>
        <v>37</v>
      </c>
      <c r="L515" s="36"/>
      <c r="M515" s="36"/>
      <c r="N515" s="36"/>
    </row>
    <row r="516" spans="1:14" ht="15" x14ac:dyDescent="0.25">
      <c r="A516" s="33" t="s">
        <v>150</v>
      </c>
      <c r="B516" s="34">
        <v>45865</v>
      </c>
      <c r="C516" s="35" t="str">
        <f t="shared" si="17"/>
        <v>07-2025</v>
      </c>
      <c r="D516" s="36" t="s">
        <v>28</v>
      </c>
      <c r="E516" s="36" t="s">
        <v>29</v>
      </c>
      <c r="F516" s="37">
        <v>148.24</v>
      </c>
      <c r="G516" s="36" t="s">
        <v>70</v>
      </c>
      <c r="H516" s="37">
        <f t="shared" si="1"/>
        <v>1</v>
      </c>
      <c r="I516" s="37">
        <f t="shared" si="18"/>
        <v>9</v>
      </c>
      <c r="J516" s="37" t="str">
        <f>IF(COUNTIF($A$2:A516,A516)=1,"New","Repeat")</f>
        <v>Repeat</v>
      </c>
      <c r="K516" s="37">
        <f ca="1">IFERROR(__xludf.DUMMYFUNCTION("IF(I516=""4+"",
   COUNTUNIQUE(FILTER(A:A, I:I&gt;=4)),
   COUNTUNIQUE(FILTER(A:A, I:I=I516))
)"),2)</f>
        <v>2</v>
      </c>
      <c r="L516" s="36"/>
      <c r="M516" s="36"/>
      <c r="N516" s="36"/>
    </row>
    <row r="517" spans="1:14" ht="15" x14ac:dyDescent="0.25">
      <c r="A517" s="33" t="s">
        <v>150</v>
      </c>
      <c r="B517" s="34">
        <v>45897</v>
      </c>
      <c r="C517" s="35" t="str">
        <f t="shared" si="17"/>
        <v>08-2025</v>
      </c>
      <c r="D517" s="36" t="s">
        <v>35</v>
      </c>
      <c r="E517" s="36" t="s">
        <v>58</v>
      </c>
      <c r="F517" s="37">
        <v>273.20999999999998</v>
      </c>
      <c r="G517" s="36" t="s">
        <v>70</v>
      </c>
      <c r="H517" s="37">
        <f t="shared" si="1"/>
        <v>1</v>
      </c>
      <c r="I517" s="37">
        <f t="shared" si="18"/>
        <v>9</v>
      </c>
      <c r="J517" s="37" t="str">
        <f>IF(COUNTIF($A$2:A517,A517)=1,"New","Repeat")</f>
        <v>Repeat</v>
      </c>
      <c r="K517" s="37">
        <f ca="1">IFERROR(__xludf.DUMMYFUNCTION("IF(I517=""4+"",
   COUNTUNIQUE(FILTER(A:A, I:I&gt;=4)),
   COUNTUNIQUE(FILTER(A:A, I:I=I517))
)"),2)</f>
        <v>2</v>
      </c>
      <c r="L517" s="36"/>
      <c r="M517" s="36"/>
      <c r="N517" s="36"/>
    </row>
    <row r="518" spans="1:14" ht="15" x14ac:dyDescent="0.25">
      <c r="A518" s="33" t="s">
        <v>216</v>
      </c>
      <c r="B518" s="39">
        <v>45961</v>
      </c>
      <c r="C518" s="35" t="str">
        <f t="shared" si="17"/>
        <v>10-2025</v>
      </c>
      <c r="D518" s="36" t="s">
        <v>51</v>
      </c>
      <c r="E518" s="36" t="s">
        <v>101</v>
      </c>
      <c r="F518" s="37">
        <v>296.10000000000002</v>
      </c>
      <c r="G518" s="36" t="s">
        <v>22</v>
      </c>
      <c r="H518" s="37">
        <f t="shared" si="1"/>
        <v>1</v>
      </c>
      <c r="I518" s="37">
        <f t="shared" si="18"/>
        <v>6</v>
      </c>
      <c r="J518" s="37" t="str">
        <f>IF(COUNTIF($A$2:A518,A518)=1,"New","Repeat")</f>
        <v>Repeat</v>
      </c>
      <c r="K518" s="37">
        <f ca="1">IFERROR(__xludf.DUMMYFUNCTION("IF(I518=""4+"",
   COUNTUNIQUE(FILTER(A:A, I:I&gt;=4)),
   COUNTUNIQUE(FILTER(A:A, I:I=I518))
)"),19)</f>
        <v>19</v>
      </c>
      <c r="L518" s="36"/>
      <c r="M518" s="36"/>
      <c r="N518" s="36"/>
    </row>
    <row r="519" spans="1:14" ht="15" x14ac:dyDescent="0.25">
      <c r="A519" s="33" t="s">
        <v>187</v>
      </c>
      <c r="B519" s="34">
        <v>46046</v>
      </c>
      <c r="C519" s="35" t="str">
        <f t="shared" si="17"/>
        <v>01-2026</v>
      </c>
      <c r="D519" s="36" t="s">
        <v>14</v>
      </c>
      <c r="E519" s="36" t="s">
        <v>32</v>
      </c>
      <c r="F519" s="37">
        <v>428.11</v>
      </c>
      <c r="G519" s="36" t="s">
        <v>30</v>
      </c>
      <c r="H519" s="37">
        <f t="shared" si="1"/>
        <v>1</v>
      </c>
      <c r="I519" s="37">
        <f t="shared" si="18"/>
        <v>4</v>
      </c>
      <c r="J519" s="37" t="str">
        <f>IF(COUNTIF($A$2:A519,A519)=1,"New","Repeat")</f>
        <v>Repeat</v>
      </c>
      <c r="K519" s="37">
        <f ca="1">IFERROR(__xludf.DUMMYFUNCTION("IF(I519=""4+"",
   COUNTUNIQUE(FILTER(A:A, I:I&gt;=4)),
   COUNTUNIQUE(FILTER(A:A, I:I=I519))
)"),32)</f>
        <v>32</v>
      </c>
      <c r="L519" s="36"/>
      <c r="M519" s="36"/>
      <c r="N519" s="36"/>
    </row>
    <row r="520" spans="1:14" ht="15" x14ac:dyDescent="0.25">
      <c r="A520" s="33" t="s">
        <v>140</v>
      </c>
      <c r="B520" s="34">
        <v>45883</v>
      </c>
      <c r="C520" s="35" t="str">
        <f t="shared" si="17"/>
        <v>08-2025</v>
      </c>
      <c r="D520" s="36" t="s">
        <v>18</v>
      </c>
      <c r="E520" s="36" t="s">
        <v>19</v>
      </c>
      <c r="F520" s="37">
        <v>291.07</v>
      </c>
      <c r="G520" s="36" t="s">
        <v>37</v>
      </c>
      <c r="H520" s="37">
        <f t="shared" si="1"/>
        <v>1</v>
      </c>
      <c r="I520" s="37">
        <f t="shared" si="18"/>
        <v>6</v>
      </c>
      <c r="J520" s="37" t="str">
        <f>IF(COUNTIF($A$2:A520,A520)=1,"New","Repeat")</f>
        <v>Repeat</v>
      </c>
      <c r="K520" s="37">
        <f ca="1">IFERROR(__xludf.DUMMYFUNCTION("IF(I520=""4+"",
   COUNTUNIQUE(FILTER(A:A, I:I&gt;=4)),
   COUNTUNIQUE(FILTER(A:A, I:I=I520))
)"),19)</f>
        <v>19</v>
      </c>
      <c r="L520" s="36"/>
      <c r="M520" s="36"/>
      <c r="N520" s="36"/>
    </row>
    <row r="521" spans="1:14" ht="15" x14ac:dyDescent="0.25">
      <c r="A521" s="33" t="s">
        <v>227</v>
      </c>
      <c r="B521" s="39">
        <v>45955</v>
      </c>
      <c r="C521" s="35" t="str">
        <f t="shared" si="17"/>
        <v>10-2025</v>
      </c>
      <c r="D521" s="36" t="s">
        <v>14</v>
      </c>
      <c r="E521" s="36" t="s">
        <v>96</v>
      </c>
      <c r="F521" s="37">
        <v>177.42</v>
      </c>
      <c r="G521" s="36" t="s">
        <v>33</v>
      </c>
      <c r="H521" s="37">
        <f t="shared" si="1"/>
        <v>1</v>
      </c>
      <c r="I521" s="37">
        <f t="shared" si="18"/>
        <v>3</v>
      </c>
      <c r="J521" s="37" t="str">
        <f>IF(COUNTIF($A$2:A521,A521)=1,"New","Repeat")</f>
        <v>Repeat</v>
      </c>
      <c r="K521" s="37">
        <f ca="1">IFERROR(__xludf.DUMMYFUNCTION("IF(I521=""4+"",
   COUNTUNIQUE(FILTER(A:A, I:I&gt;=4)),
   COUNTUNIQUE(FILTER(A:A, I:I=I521))
)"),42)</f>
        <v>42</v>
      </c>
      <c r="L521" s="36"/>
      <c r="M521" s="36"/>
      <c r="N521" s="36"/>
    </row>
    <row r="522" spans="1:14" ht="15" x14ac:dyDescent="0.25">
      <c r="A522" s="33" t="s">
        <v>236</v>
      </c>
      <c r="B522" s="39">
        <v>45942</v>
      </c>
      <c r="C522" s="35" t="str">
        <f t="shared" si="17"/>
        <v>10-2025</v>
      </c>
      <c r="D522" s="36" t="s">
        <v>28</v>
      </c>
      <c r="E522" s="36" t="s">
        <v>87</v>
      </c>
      <c r="F522" s="37">
        <v>475.85</v>
      </c>
      <c r="G522" s="36" t="s">
        <v>22</v>
      </c>
      <c r="H522" s="37">
        <f t="shared" si="1"/>
        <v>1</v>
      </c>
      <c r="I522" s="37">
        <f t="shared" si="18"/>
        <v>2</v>
      </c>
      <c r="J522" s="37" t="str">
        <f>IF(COUNTIF($A$2:A522,A522)=1,"New","Repeat")</f>
        <v>New</v>
      </c>
      <c r="K522" s="37">
        <f ca="1">IFERROR(__xludf.DUMMYFUNCTION("IF(I522=""4+"",
   COUNTUNIQUE(FILTER(A:A, I:I&gt;=4)),
   COUNTUNIQUE(FILTER(A:A, I:I=I522))
)"),37)</f>
        <v>37</v>
      </c>
      <c r="L522" s="36"/>
      <c r="M522" s="36"/>
      <c r="N522" s="36"/>
    </row>
    <row r="523" spans="1:14" ht="15" x14ac:dyDescent="0.25">
      <c r="A523" s="33" t="s">
        <v>213</v>
      </c>
      <c r="B523" s="34">
        <v>45770</v>
      </c>
      <c r="C523" s="35" t="str">
        <f t="shared" si="17"/>
        <v>04-2025</v>
      </c>
      <c r="D523" s="36" t="s">
        <v>51</v>
      </c>
      <c r="E523" s="36" t="s">
        <v>52</v>
      </c>
      <c r="F523" s="37">
        <v>151.07</v>
      </c>
      <c r="G523" s="36" t="s">
        <v>16</v>
      </c>
      <c r="H523" s="37">
        <f t="shared" si="1"/>
        <v>1</v>
      </c>
      <c r="I523" s="37">
        <f t="shared" si="18"/>
        <v>3</v>
      </c>
      <c r="J523" s="37" t="str">
        <f>IF(COUNTIF($A$2:A523,A523)=1,"New","Repeat")</f>
        <v>Repeat</v>
      </c>
      <c r="K523" s="37">
        <f ca="1">IFERROR(__xludf.DUMMYFUNCTION("IF(I523=""4+"",
   COUNTUNIQUE(FILTER(A:A, I:I&gt;=4)),
   COUNTUNIQUE(FILTER(A:A, I:I=I523))
)"),42)</f>
        <v>42</v>
      </c>
      <c r="L523" s="36"/>
      <c r="M523" s="36"/>
      <c r="N523" s="36"/>
    </row>
    <row r="524" spans="1:14" ht="15" x14ac:dyDescent="0.25">
      <c r="A524" s="33" t="s">
        <v>229</v>
      </c>
      <c r="B524" s="39">
        <v>45973</v>
      </c>
      <c r="C524" s="35" t="str">
        <f t="shared" si="17"/>
        <v>11-2025</v>
      </c>
      <c r="D524" s="36" t="s">
        <v>18</v>
      </c>
      <c r="E524" s="36" t="s">
        <v>19</v>
      </c>
      <c r="F524" s="37">
        <v>290.98</v>
      </c>
      <c r="G524" s="36" t="s">
        <v>30</v>
      </c>
      <c r="H524" s="37">
        <f t="shared" si="1"/>
        <v>1</v>
      </c>
      <c r="I524" s="37">
        <f t="shared" si="18"/>
        <v>2</v>
      </c>
      <c r="J524" s="37" t="str">
        <f>IF(COUNTIF($A$2:A524,A524)=1,"New","Repeat")</f>
        <v>Repeat</v>
      </c>
      <c r="K524" s="37">
        <f ca="1">IFERROR(__xludf.DUMMYFUNCTION("IF(I524=""4+"",
   COUNTUNIQUE(FILTER(A:A, I:I&gt;=4)),
   COUNTUNIQUE(FILTER(A:A, I:I=I524))
)"),37)</f>
        <v>37</v>
      </c>
      <c r="L524" s="36"/>
      <c r="M524" s="36"/>
      <c r="N524" s="36"/>
    </row>
    <row r="525" spans="1:14" ht="15" x14ac:dyDescent="0.25">
      <c r="A525" s="33" t="s">
        <v>237</v>
      </c>
      <c r="B525" s="39">
        <v>46008</v>
      </c>
      <c r="C525" s="35" t="str">
        <f t="shared" si="17"/>
        <v>12-2025</v>
      </c>
      <c r="D525" s="36" t="s">
        <v>18</v>
      </c>
      <c r="E525" s="36" t="s">
        <v>47</v>
      </c>
      <c r="F525" s="37">
        <v>102.81</v>
      </c>
      <c r="G525" s="36" t="s">
        <v>37</v>
      </c>
      <c r="H525" s="37">
        <f t="shared" si="1"/>
        <v>1</v>
      </c>
      <c r="I525" s="37">
        <f t="shared" si="18"/>
        <v>2</v>
      </c>
      <c r="J525" s="37" t="str">
        <f>IF(COUNTIF($A$2:A525,A525)=1,"New","Repeat")</f>
        <v>New</v>
      </c>
      <c r="K525" s="37">
        <f ca="1">IFERROR(__xludf.DUMMYFUNCTION("IF(I525=""4+"",
   COUNTUNIQUE(FILTER(A:A, I:I&gt;=4)),
   COUNTUNIQUE(FILTER(A:A, I:I=I525))
)"),37)</f>
        <v>37</v>
      </c>
      <c r="L525" s="36"/>
      <c r="M525" s="36"/>
      <c r="N525" s="36"/>
    </row>
    <row r="526" spans="1:14" ht="15" x14ac:dyDescent="0.25">
      <c r="A526" s="33" t="s">
        <v>71</v>
      </c>
      <c r="B526" s="34">
        <v>45787</v>
      </c>
      <c r="C526" s="35" t="str">
        <f t="shared" si="17"/>
        <v>05-2025</v>
      </c>
      <c r="D526" s="36" t="s">
        <v>18</v>
      </c>
      <c r="E526" s="36" t="s">
        <v>24</v>
      </c>
      <c r="F526" s="37">
        <v>293.63</v>
      </c>
      <c r="G526" s="36" t="s">
        <v>37</v>
      </c>
      <c r="H526" s="37">
        <f t="shared" si="1"/>
        <v>1</v>
      </c>
      <c r="I526" s="37">
        <f t="shared" si="18"/>
        <v>7</v>
      </c>
      <c r="J526" s="37" t="str">
        <f>IF(COUNTIF($A$2:A526,A526)=1,"New","Repeat")</f>
        <v>Repeat</v>
      </c>
      <c r="K526" s="37">
        <f ca="1">IFERROR(__xludf.DUMMYFUNCTION("IF(I526=""4+"",
   COUNTUNIQUE(FILTER(A:A, I:I&gt;=4)),
   COUNTUNIQUE(FILTER(A:A, I:I=I526))
)"),4)</f>
        <v>4</v>
      </c>
      <c r="L526" s="36"/>
      <c r="M526" s="36"/>
      <c r="N526" s="36"/>
    </row>
    <row r="527" spans="1:14" ht="15" x14ac:dyDescent="0.25">
      <c r="A527" s="33" t="s">
        <v>218</v>
      </c>
      <c r="B527" s="34">
        <v>45887</v>
      </c>
      <c r="C527" s="35" t="str">
        <f t="shared" si="17"/>
        <v>08-2025</v>
      </c>
      <c r="D527" s="36" t="s">
        <v>51</v>
      </c>
      <c r="E527" s="36" t="s">
        <v>145</v>
      </c>
      <c r="F527" s="37">
        <v>261.89999999999998</v>
      </c>
      <c r="G527" s="36" t="s">
        <v>22</v>
      </c>
      <c r="H527" s="37">
        <f t="shared" si="1"/>
        <v>1</v>
      </c>
      <c r="I527" s="37">
        <f t="shared" si="18"/>
        <v>4</v>
      </c>
      <c r="J527" s="37" t="str">
        <f>IF(COUNTIF($A$2:A527,A527)=1,"New","Repeat")</f>
        <v>Repeat</v>
      </c>
      <c r="K527" s="37">
        <f ca="1">IFERROR(__xludf.DUMMYFUNCTION("IF(I527=""4+"",
   COUNTUNIQUE(FILTER(A:A, I:I&gt;=4)),
   COUNTUNIQUE(FILTER(A:A, I:I=I527))
)"),32)</f>
        <v>32</v>
      </c>
      <c r="L527" s="36"/>
      <c r="M527" s="36"/>
      <c r="N527" s="36"/>
    </row>
    <row r="528" spans="1:14" ht="15" x14ac:dyDescent="0.25">
      <c r="A528" s="33" t="s">
        <v>214</v>
      </c>
      <c r="B528" s="39">
        <v>46008</v>
      </c>
      <c r="C528" s="35" t="str">
        <f t="shared" si="17"/>
        <v>12-2025</v>
      </c>
      <c r="D528" s="36" t="s">
        <v>51</v>
      </c>
      <c r="E528" s="36" t="s">
        <v>72</v>
      </c>
      <c r="F528" s="37">
        <v>342.21</v>
      </c>
      <c r="G528" s="36" t="s">
        <v>70</v>
      </c>
      <c r="H528" s="37">
        <f t="shared" si="1"/>
        <v>1</v>
      </c>
      <c r="I528" s="37">
        <f t="shared" si="18"/>
        <v>4</v>
      </c>
      <c r="J528" s="37" t="str">
        <f>IF(COUNTIF($A$2:A528,A528)=1,"New","Repeat")</f>
        <v>Repeat</v>
      </c>
      <c r="K528" s="37">
        <f ca="1">IFERROR(__xludf.DUMMYFUNCTION("IF(I528=""4+"",
   COUNTUNIQUE(FILTER(A:A, I:I&gt;=4)),
   COUNTUNIQUE(FILTER(A:A, I:I=I528))
)"),32)</f>
        <v>32</v>
      </c>
      <c r="L528" s="36"/>
      <c r="M528" s="36"/>
      <c r="N528" s="36"/>
    </row>
    <row r="529" spans="1:14" ht="15" x14ac:dyDescent="0.25">
      <c r="A529" s="33" t="s">
        <v>238</v>
      </c>
      <c r="B529" s="34">
        <v>45760</v>
      </c>
      <c r="C529" s="35" t="str">
        <f t="shared" si="17"/>
        <v>04-2025</v>
      </c>
      <c r="D529" s="36" t="s">
        <v>28</v>
      </c>
      <c r="E529" s="36" t="s">
        <v>87</v>
      </c>
      <c r="F529" s="37">
        <v>298.67</v>
      </c>
      <c r="G529" s="36" t="s">
        <v>16</v>
      </c>
      <c r="H529" s="37">
        <f t="shared" si="1"/>
        <v>1</v>
      </c>
      <c r="I529" s="37">
        <f t="shared" si="18"/>
        <v>3</v>
      </c>
      <c r="J529" s="37" t="str">
        <f>IF(COUNTIF($A$2:A529,A529)=1,"New","Repeat")</f>
        <v>New</v>
      </c>
      <c r="K529" s="37">
        <f ca="1">IFERROR(__xludf.DUMMYFUNCTION("IF(I529=""4+"",
   COUNTUNIQUE(FILTER(A:A, I:I&gt;=4)),
   COUNTUNIQUE(FILTER(A:A, I:I=I529))
)"),42)</f>
        <v>42</v>
      </c>
      <c r="L529" s="36"/>
      <c r="M529" s="36"/>
      <c r="N529" s="36"/>
    </row>
    <row r="530" spans="1:14" ht="15" x14ac:dyDescent="0.25">
      <c r="A530" s="33" t="s">
        <v>67</v>
      </c>
      <c r="B530" s="34">
        <v>46037</v>
      </c>
      <c r="C530" s="35" t="str">
        <f t="shared" si="17"/>
        <v>01-2026</v>
      </c>
      <c r="D530" s="36" t="s">
        <v>35</v>
      </c>
      <c r="E530" s="36" t="s">
        <v>93</v>
      </c>
      <c r="F530" s="37">
        <v>334.28</v>
      </c>
      <c r="G530" s="36" t="s">
        <v>33</v>
      </c>
      <c r="H530" s="37">
        <f t="shared" si="1"/>
        <v>1</v>
      </c>
      <c r="I530" s="37">
        <f t="shared" si="18"/>
        <v>7</v>
      </c>
      <c r="J530" s="37" t="str">
        <f>IF(COUNTIF($A$2:A530,A530)=1,"New","Repeat")</f>
        <v>Repeat</v>
      </c>
      <c r="K530" s="37">
        <f ca="1">IFERROR(__xludf.DUMMYFUNCTION("IF(I530=""4+"",
   COUNTUNIQUE(FILTER(A:A, I:I&gt;=4)),
   COUNTUNIQUE(FILTER(A:A, I:I=I530))
)"),4)</f>
        <v>4</v>
      </c>
      <c r="L530" s="36"/>
      <c r="M530" s="36"/>
      <c r="N530" s="36"/>
    </row>
    <row r="531" spans="1:14" ht="15" x14ac:dyDescent="0.25">
      <c r="A531" s="33" t="s">
        <v>98</v>
      </c>
      <c r="B531" s="34">
        <v>45886</v>
      </c>
      <c r="C531" s="35" t="str">
        <f t="shared" si="17"/>
        <v>08-2025</v>
      </c>
      <c r="D531" s="36" t="s">
        <v>14</v>
      </c>
      <c r="E531" s="36" t="s">
        <v>41</v>
      </c>
      <c r="F531" s="37">
        <v>62.17</v>
      </c>
      <c r="G531" s="36" t="s">
        <v>22</v>
      </c>
      <c r="H531" s="37">
        <f t="shared" si="1"/>
        <v>1</v>
      </c>
      <c r="I531" s="37">
        <f t="shared" si="18"/>
        <v>4</v>
      </c>
      <c r="J531" s="37" t="str">
        <f>IF(COUNTIF($A$2:A531,A531)=1,"New","Repeat")</f>
        <v>Repeat</v>
      </c>
      <c r="K531" s="37">
        <f ca="1">IFERROR(__xludf.DUMMYFUNCTION("IF(I531=""4+"",
   COUNTUNIQUE(FILTER(A:A, I:I&gt;=4)),
   COUNTUNIQUE(FILTER(A:A, I:I=I531))
)"),32)</f>
        <v>32</v>
      </c>
      <c r="L531" s="36"/>
      <c r="M531" s="36"/>
      <c r="N531" s="36"/>
    </row>
    <row r="532" spans="1:14" ht="15" x14ac:dyDescent="0.25">
      <c r="A532" s="33" t="s">
        <v>127</v>
      </c>
      <c r="B532" s="34">
        <v>45834</v>
      </c>
      <c r="C532" s="35" t="str">
        <f t="shared" si="17"/>
        <v>06-2025</v>
      </c>
      <c r="D532" s="36" t="s">
        <v>28</v>
      </c>
      <c r="E532" s="36" t="s">
        <v>87</v>
      </c>
      <c r="F532" s="37">
        <v>484.12</v>
      </c>
      <c r="G532" s="36" t="s">
        <v>33</v>
      </c>
      <c r="H532" s="37">
        <f t="shared" si="1"/>
        <v>1</v>
      </c>
      <c r="I532" s="37">
        <f t="shared" si="18"/>
        <v>5</v>
      </c>
      <c r="J532" s="37" t="str">
        <f>IF(COUNTIF($A$2:A532,A532)=1,"New","Repeat")</f>
        <v>Repeat</v>
      </c>
      <c r="K532" s="37">
        <f ca="1">IFERROR(__xludf.DUMMYFUNCTION("IF(I532=""4+"",
   COUNTUNIQUE(FILTER(A:A, I:I&gt;=4)),
   COUNTUNIQUE(FILTER(A:A, I:I=I532))
)"),34)</f>
        <v>34</v>
      </c>
      <c r="L532" s="36"/>
      <c r="M532" s="36"/>
      <c r="N532" s="36"/>
    </row>
    <row r="533" spans="1:14" ht="15" x14ac:dyDescent="0.25">
      <c r="A533" s="33" t="s">
        <v>192</v>
      </c>
      <c r="B533" s="39">
        <v>46002</v>
      </c>
      <c r="C533" s="35" t="str">
        <f t="shared" si="17"/>
        <v>12-2025</v>
      </c>
      <c r="D533" s="36" t="s">
        <v>35</v>
      </c>
      <c r="E533" s="36" t="s">
        <v>36</v>
      </c>
      <c r="F533" s="37">
        <v>205.27</v>
      </c>
      <c r="G533" s="36" t="s">
        <v>37</v>
      </c>
      <c r="H533" s="37">
        <f t="shared" si="1"/>
        <v>1</v>
      </c>
      <c r="I533" s="37">
        <f t="shared" si="18"/>
        <v>5</v>
      </c>
      <c r="J533" s="37" t="str">
        <f>IF(COUNTIF($A$2:A533,A533)=1,"New","Repeat")</f>
        <v>Repeat</v>
      </c>
      <c r="K533" s="37">
        <f ca="1">IFERROR(__xludf.DUMMYFUNCTION("IF(I533=""4+"",
   COUNTUNIQUE(FILTER(A:A, I:I&gt;=4)),
   COUNTUNIQUE(FILTER(A:A, I:I=I533))
)"),34)</f>
        <v>34</v>
      </c>
      <c r="L533" s="36"/>
      <c r="M533" s="36"/>
      <c r="N533" s="36"/>
    </row>
    <row r="534" spans="1:14" ht="15" x14ac:dyDescent="0.25">
      <c r="A534" s="33" t="s">
        <v>197</v>
      </c>
      <c r="B534" s="34">
        <v>45772</v>
      </c>
      <c r="C534" s="35" t="str">
        <f t="shared" si="17"/>
        <v>04-2025</v>
      </c>
      <c r="D534" s="36" t="s">
        <v>51</v>
      </c>
      <c r="E534" s="36" t="s">
        <v>145</v>
      </c>
      <c r="F534" s="37">
        <v>307.76</v>
      </c>
      <c r="G534" s="36" t="s">
        <v>30</v>
      </c>
      <c r="H534" s="37">
        <f t="shared" si="1"/>
        <v>1</v>
      </c>
      <c r="I534" s="37">
        <f t="shared" si="18"/>
        <v>5</v>
      </c>
      <c r="J534" s="37" t="str">
        <f>IF(COUNTIF($A$2:A534,A534)=1,"New","Repeat")</f>
        <v>Repeat</v>
      </c>
      <c r="K534" s="37">
        <f ca="1">IFERROR(__xludf.DUMMYFUNCTION("IF(I534=""4+"",
   COUNTUNIQUE(FILTER(A:A, I:I&gt;=4)),
   COUNTUNIQUE(FILTER(A:A, I:I=I534))
)"),34)</f>
        <v>34</v>
      </c>
      <c r="L534" s="36"/>
      <c r="M534" s="36"/>
      <c r="N534" s="36"/>
    </row>
    <row r="535" spans="1:14" ht="15" x14ac:dyDescent="0.25">
      <c r="A535" s="33" t="s">
        <v>235</v>
      </c>
      <c r="B535" s="34">
        <v>45883</v>
      </c>
      <c r="C535" s="35" t="str">
        <f t="shared" si="17"/>
        <v>08-2025</v>
      </c>
      <c r="D535" s="36" t="s">
        <v>51</v>
      </c>
      <c r="E535" s="36" t="s">
        <v>52</v>
      </c>
      <c r="F535" s="37">
        <v>81.64</v>
      </c>
      <c r="G535" s="36" t="s">
        <v>25</v>
      </c>
      <c r="H535" s="37">
        <f t="shared" si="1"/>
        <v>1</v>
      </c>
      <c r="I535" s="37">
        <f t="shared" si="18"/>
        <v>2</v>
      </c>
      <c r="J535" s="37" t="str">
        <f>IF(COUNTIF($A$2:A535,A535)=1,"New","Repeat")</f>
        <v>Repeat</v>
      </c>
      <c r="K535" s="37">
        <f ca="1">IFERROR(__xludf.DUMMYFUNCTION("IF(I535=""4+"",
   COUNTUNIQUE(FILTER(A:A, I:I&gt;=4)),
   COUNTUNIQUE(FILTER(A:A, I:I=I535))
)"),37)</f>
        <v>37</v>
      </c>
      <c r="L535" s="36"/>
      <c r="M535" s="36"/>
      <c r="N535" s="36"/>
    </row>
    <row r="536" spans="1:14" ht="15" x14ac:dyDescent="0.25">
      <c r="A536" s="33" t="s">
        <v>238</v>
      </c>
      <c r="B536" s="34">
        <v>45969</v>
      </c>
      <c r="C536" s="35" t="str">
        <f t="shared" si="17"/>
        <v>11-2025</v>
      </c>
      <c r="D536" s="36" t="s">
        <v>28</v>
      </c>
      <c r="E536" s="36" t="s">
        <v>74</v>
      </c>
      <c r="F536" s="37">
        <v>429.97</v>
      </c>
      <c r="G536" s="36" t="s">
        <v>37</v>
      </c>
      <c r="H536" s="37">
        <f t="shared" si="1"/>
        <v>1</v>
      </c>
      <c r="I536" s="37">
        <f t="shared" si="18"/>
        <v>3</v>
      </c>
      <c r="J536" s="37" t="str">
        <f>IF(COUNTIF($A$2:A536,A536)=1,"New","Repeat")</f>
        <v>Repeat</v>
      </c>
      <c r="K536" s="37">
        <f ca="1">IFERROR(__xludf.DUMMYFUNCTION("IF(I536=""4+"",
   COUNTUNIQUE(FILTER(A:A, I:I&gt;=4)),
   COUNTUNIQUE(FILTER(A:A, I:I=I536))
)"),42)</f>
        <v>42</v>
      </c>
      <c r="L536" s="36"/>
      <c r="M536" s="36"/>
      <c r="N536" s="36"/>
    </row>
    <row r="537" spans="1:14" ht="15" x14ac:dyDescent="0.25">
      <c r="A537" s="33" t="s">
        <v>61</v>
      </c>
      <c r="B537" s="34">
        <v>46025</v>
      </c>
      <c r="C537" s="35" t="str">
        <f t="shared" si="17"/>
        <v>01-2026</v>
      </c>
      <c r="D537" s="36" t="s">
        <v>14</v>
      </c>
      <c r="E537" s="36" t="s">
        <v>32</v>
      </c>
      <c r="F537" s="37">
        <v>190.25</v>
      </c>
      <c r="G537" s="36" t="s">
        <v>22</v>
      </c>
      <c r="H537" s="37">
        <f t="shared" si="1"/>
        <v>1</v>
      </c>
      <c r="I537" s="37">
        <f t="shared" si="18"/>
        <v>6</v>
      </c>
      <c r="J537" s="37" t="str">
        <f>IF(COUNTIF($A$2:A537,A537)=1,"New","Repeat")</f>
        <v>Repeat</v>
      </c>
      <c r="K537" s="37">
        <f ca="1">IFERROR(__xludf.DUMMYFUNCTION("IF(I537=""4+"",
   COUNTUNIQUE(FILTER(A:A, I:I&gt;=4)),
   COUNTUNIQUE(FILTER(A:A, I:I=I537))
)"),19)</f>
        <v>19</v>
      </c>
      <c r="L537" s="36"/>
      <c r="M537" s="36"/>
      <c r="N537" s="36"/>
    </row>
    <row r="538" spans="1:14" ht="15" x14ac:dyDescent="0.25">
      <c r="A538" s="33" t="s">
        <v>151</v>
      </c>
      <c r="B538" s="34">
        <v>45965</v>
      </c>
      <c r="C538" s="35" t="str">
        <f t="shared" si="17"/>
        <v>11-2025</v>
      </c>
      <c r="D538" s="36" t="s">
        <v>35</v>
      </c>
      <c r="E538" s="36" t="s">
        <v>36</v>
      </c>
      <c r="F538" s="37">
        <v>389.73</v>
      </c>
      <c r="G538" s="36" t="s">
        <v>25</v>
      </c>
      <c r="H538" s="37">
        <f t="shared" si="1"/>
        <v>1</v>
      </c>
      <c r="I538" s="37">
        <f t="shared" si="18"/>
        <v>5</v>
      </c>
      <c r="J538" s="37" t="str">
        <f>IF(COUNTIF($A$2:A538,A538)=1,"New","Repeat")</f>
        <v>Repeat</v>
      </c>
      <c r="K538" s="37">
        <f ca="1">IFERROR(__xludf.DUMMYFUNCTION("IF(I538=""4+"",
   COUNTUNIQUE(FILTER(A:A, I:I&gt;=4)),
   COUNTUNIQUE(FILTER(A:A, I:I=I538))
)"),34)</f>
        <v>34</v>
      </c>
      <c r="L538" s="36"/>
      <c r="M538" s="36"/>
      <c r="N538" s="36"/>
    </row>
    <row r="539" spans="1:14" ht="15" x14ac:dyDescent="0.25">
      <c r="A539" s="33" t="s">
        <v>77</v>
      </c>
      <c r="B539" s="34">
        <v>45744</v>
      </c>
      <c r="C539" s="35" t="str">
        <f t="shared" si="17"/>
        <v>03-2025</v>
      </c>
      <c r="D539" s="36" t="s">
        <v>14</v>
      </c>
      <c r="E539" s="36" t="s">
        <v>32</v>
      </c>
      <c r="F539" s="37">
        <v>83.06</v>
      </c>
      <c r="G539" s="36" t="s">
        <v>70</v>
      </c>
      <c r="H539" s="37">
        <f t="shared" si="1"/>
        <v>1</v>
      </c>
      <c r="I539" s="37">
        <f t="shared" si="18"/>
        <v>6</v>
      </c>
      <c r="J539" s="37" t="str">
        <f>IF(COUNTIF($A$2:A539,A539)=1,"New","Repeat")</f>
        <v>Repeat</v>
      </c>
      <c r="K539" s="37">
        <f ca="1">IFERROR(__xludf.DUMMYFUNCTION("IF(I539=""4+"",
   COUNTUNIQUE(FILTER(A:A, I:I&gt;=4)),
   COUNTUNIQUE(FILTER(A:A, I:I=I539))
)"),19)</f>
        <v>19</v>
      </c>
      <c r="L539" s="36"/>
      <c r="M539" s="36"/>
      <c r="N539" s="36"/>
    </row>
    <row r="540" spans="1:14" ht="15" x14ac:dyDescent="0.25">
      <c r="A540" s="33" t="s">
        <v>203</v>
      </c>
      <c r="B540" s="34">
        <v>46035</v>
      </c>
      <c r="C540" s="35" t="str">
        <f t="shared" si="17"/>
        <v>01-2026</v>
      </c>
      <c r="D540" s="36" t="s">
        <v>18</v>
      </c>
      <c r="E540" s="36" t="s">
        <v>65</v>
      </c>
      <c r="F540" s="37">
        <v>242.37</v>
      </c>
      <c r="G540" s="36" t="s">
        <v>30</v>
      </c>
      <c r="H540" s="37">
        <f t="shared" si="1"/>
        <v>1</v>
      </c>
      <c r="I540" s="37">
        <f t="shared" si="18"/>
        <v>3</v>
      </c>
      <c r="J540" s="37" t="str">
        <f>IF(COUNTIF($A$2:A540,A540)=1,"New","Repeat")</f>
        <v>Repeat</v>
      </c>
      <c r="K540" s="37">
        <f ca="1">IFERROR(__xludf.DUMMYFUNCTION("IF(I540=""4+"",
   COUNTUNIQUE(FILTER(A:A, I:I&gt;=4)),
   COUNTUNIQUE(FILTER(A:A, I:I=I540))
)"),42)</f>
        <v>42</v>
      </c>
      <c r="L540" s="36"/>
      <c r="M540" s="36"/>
      <c r="N540" s="36"/>
    </row>
    <row r="541" spans="1:14" ht="15" x14ac:dyDescent="0.25">
      <c r="A541" s="33" t="s">
        <v>188</v>
      </c>
      <c r="B541" s="34">
        <v>45846</v>
      </c>
      <c r="C541" s="35" t="str">
        <f t="shared" si="17"/>
        <v>07-2025</v>
      </c>
      <c r="D541" s="36" t="s">
        <v>14</v>
      </c>
      <c r="E541" s="36" t="s">
        <v>15</v>
      </c>
      <c r="F541" s="37">
        <v>134.13999999999999</v>
      </c>
      <c r="G541" s="36" t="s">
        <v>70</v>
      </c>
      <c r="H541" s="37">
        <f t="shared" si="1"/>
        <v>1</v>
      </c>
      <c r="I541" s="37">
        <f t="shared" si="18"/>
        <v>5</v>
      </c>
      <c r="J541" s="37" t="str">
        <f>IF(COUNTIF($A$2:A541,A541)=1,"New","Repeat")</f>
        <v>Repeat</v>
      </c>
      <c r="K541" s="37">
        <f ca="1">IFERROR(__xludf.DUMMYFUNCTION("IF(I541=""4+"",
   COUNTUNIQUE(FILTER(A:A, I:I&gt;=4)),
   COUNTUNIQUE(FILTER(A:A, I:I=I541))
)"),34)</f>
        <v>34</v>
      </c>
      <c r="L541" s="36"/>
      <c r="M541" s="36"/>
      <c r="N541" s="36"/>
    </row>
    <row r="542" spans="1:14" ht="15" x14ac:dyDescent="0.25">
      <c r="A542" s="33" t="s">
        <v>78</v>
      </c>
      <c r="B542" s="34">
        <v>45864</v>
      </c>
      <c r="C542" s="35" t="str">
        <f t="shared" si="17"/>
        <v>07-2025</v>
      </c>
      <c r="D542" s="36" t="s">
        <v>28</v>
      </c>
      <c r="E542" s="36" t="s">
        <v>45</v>
      </c>
      <c r="F542" s="37">
        <v>52.12</v>
      </c>
      <c r="G542" s="36" t="s">
        <v>70</v>
      </c>
      <c r="H542" s="37">
        <f t="shared" si="1"/>
        <v>1</v>
      </c>
      <c r="I542" s="37">
        <f t="shared" si="18"/>
        <v>4</v>
      </c>
      <c r="J542" s="37" t="str">
        <f>IF(COUNTIF($A$2:A542,A542)=1,"New","Repeat")</f>
        <v>Repeat</v>
      </c>
      <c r="K542" s="37">
        <f ca="1">IFERROR(__xludf.DUMMYFUNCTION("IF(I542=""4+"",
   COUNTUNIQUE(FILTER(A:A, I:I&gt;=4)),
   COUNTUNIQUE(FILTER(A:A, I:I=I542))
)"),32)</f>
        <v>32</v>
      </c>
      <c r="L542" s="36"/>
      <c r="M542" s="36"/>
      <c r="N542" s="36"/>
    </row>
    <row r="543" spans="1:14" ht="15" x14ac:dyDescent="0.25">
      <c r="A543" s="33" t="s">
        <v>157</v>
      </c>
      <c r="B543" s="34">
        <v>45896</v>
      </c>
      <c r="C543" s="35" t="str">
        <f t="shared" si="17"/>
        <v>08-2025</v>
      </c>
      <c r="D543" s="36" t="s">
        <v>28</v>
      </c>
      <c r="E543" s="36" t="s">
        <v>45</v>
      </c>
      <c r="F543" s="37">
        <v>486.88</v>
      </c>
      <c r="G543" s="36" t="s">
        <v>25</v>
      </c>
      <c r="H543" s="37">
        <f t="shared" si="1"/>
        <v>1</v>
      </c>
      <c r="I543" s="37">
        <f t="shared" si="18"/>
        <v>5</v>
      </c>
      <c r="J543" s="37" t="str">
        <f>IF(COUNTIF($A$2:A543,A543)=1,"New","Repeat")</f>
        <v>Repeat</v>
      </c>
      <c r="K543" s="37">
        <f ca="1">IFERROR(__xludf.DUMMYFUNCTION("IF(I543=""4+"",
   COUNTUNIQUE(FILTER(A:A, I:I&gt;=4)),
   COUNTUNIQUE(FILTER(A:A, I:I=I543))
)"),34)</f>
        <v>34</v>
      </c>
      <c r="L543" s="36"/>
      <c r="M543" s="36"/>
      <c r="N543" s="36"/>
    </row>
    <row r="544" spans="1:14" ht="15" x14ac:dyDescent="0.25">
      <c r="A544" s="33" t="s">
        <v>181</v>
      </c>
      <c r="B544" s="34">
        <v>45827</v>
      </c>
      <c r="C544" s="35" t="str">
        <f t="shared" si="17"/>
        <v>06-2025</v>
      </c>
      <c r="D544" s="36" t="s">
        <v>28</v>
      </c>
      <c r="E544" s="36" t="s">
        <v>29</v>
      </c>
      <c r="F544" s="37">
        <v>48.18</v>
      </c>
      <c r="G544" s="36" t="s">
        <v>25</v>
      </c>
      <c r="H544" s="37">
        <f t="shared" si="1"/>
        <v>1</v>
      </c>
      <c r="I544" s="37">
        <f t="shared" si="18"/>
        <v>5</v>
      </c>
      <c r="J544" s="37" t="str">
        <f>IF(COUNTIF($A$2:A544,A544)=1,"New","Repeat")</f>
        <v>Repeat</v>
      </c>
      <c r="K544" s="37">
        <f ca="1">IFERROR(__xludf.DUMMYFUNCTION("IF(I544=""4+"",
   COUNTUNIQUE(FILTER(A:A, I:I&gt;=4)),
   COUNTUNIQUE(FILTER(A:A, I:I=I544))
)"),34)</f>
        <v>34</v>
      </c>
      <c r="L544" s="36"/>
      <c r="M544" s="36"/>
      <c r="N544" s="36"/>
    </row>
    <row r="545" spans="1:14" ht="15" x14ac:dyDescent="0.25">
      <c r="A545" s="33" t="s">
        <v>195</v>
      </c>
      <c r="B545" s="34">
        <v>45939</v>
      </c>
      <c r="C545" s="35" t="str">
        <f t="shared" si="17"/>
        <v>10-2025</v>
      </c>
      <c r="D545" s="36" t="s">
        <v>18</v>
      </c>
      <c r="E545" s="36" t="s">
        <v>19</v>
      </c>
      <c r="F545" s="37">
        <v>255.94</v>
      </c>
      <c r="G545" s="36" t="s">
        <v>70</v>
      </c>
      <c r="H545" s="37">
        <f t="shared" si="1"/>
        <v>1</v>
      </c>
      <c r="I545" s="37">
        <f t="shared" si="18"/>
        <v>6</v>
      </c>
      <c r="J545" s="37" t="str">
        <f>IF(COUNTIF($A$2:A545,A545)=1,"New","Repeat")</f>
        <v>Repeat</v>
      </c>
      <c r="K545" s="37">
        <f ca="1">IFERROR(__xludf.DUMMYFUNCTION("IF(I545=""4+"",
   COUNTUNIQUE(FILTER(A:A, I:I&gt;=4)),
   COUNTUNIQUE(FILTER(A:A, I:I=I545))
)"),19)</f>
        <v>19</v>
      </c>
      <c r="L545" s="36"/>
      <c r="M545" s="36"/>
      <c r="N545" s="36"/>
    </row>
    <row r="546" spans="1:14" ht="15" x14ac:dyDescent="0.25">
      <c r="A546" s="33" t="s">
        <v>214</v>
      </c>
      <c r="B546" s="34">
        <v>46037</v>
      </c>
      <c r="C546" s="35" t="str">
        <f t="shared" si="17"/>
        <v>01-2026</v>
      </c>
      <c r="D546" s="36" t="s">
        <v>18</v>
      </c>
      <c r="E546" s="36" t="s">
        <v>24</v>
      </c>
      <c r="F546" s="37">
        <v>44.3</v>
      </c>
      <c r="G546" s="36" t="s">
        <v>25</v>
      </c>
      <c r="H546" s="37">
        <f t="shared" si="1"/>
        <v>1</v>
      </c>
      <c r="I546" s="37">
        <f t="shared" si="18"/>
        <v>4</v>
      </c>
      <c r="J546" s="37" t="str">
        <f>IF(COUNTIF($A$2:A546,A546)=1,"New","Repeat")</f>
        <v>Repeat</v>
      </c>
      <c r="K546" s="37">
        <f ca="1">IFERROR(__xludf.DUMMYFUNCTION("IF(I546=""4+"",
   COUNTUNIQUE(FILTER(A:A, I:I&gt;=4)),
   COUNTUNIQUE(FILTER(A:A, I:I=I546))
)"),32)</f>
        <v>32</v>
      </c>
      <c r="L546" s="36"/>
      <c r="M546" s="36"/>
      <c r="N546" s="36"/>
    </row>
    <row r="547" spans="1:14" ht="15" x14ac:dyDescent="0.25">
      <c r="A547" s="33" t="s">
        <v>150</v>
      </c>
      <c r="B547" s="34">
        <v>45822</v>
      </c>
      <c r="C547" s="35" t="str">
        <f t="shared" si="17"/>
        <v>06-2025</v>
      </c>
      <c r="D547" s="36" t="s">
        <v>18</v>
      </c>
      <c r="E547" s="36" t="s">
        <v>24</v>
      </c>
      <c r="F547" s="37">
        <v>146.19999999999999</v>
      </c>
      <c r="G547" s="36" t="s">
        <v>22</v>
      </c>
      <c r="H547" s="37">
        <f t="shared" si="1"/>
        <v>1</v>
      </c>
      <c r="I547" s="37">
        <f t="shared" si="18"/>
        <v>9</v>
      </c>
      <c r="J547" s="37" t="str">
        <f>IF(COUNTIF($A$2:A547,A547)=1,"New","Repeat")</f>
        <v>Repeat</v>
      </c>
      <c r="K547" s="37">
        <f ca="1">IFERROR(__xludf.DUMMYFUNCTION("IF(I547=""4+"",
   COUNTUNIQUE(FILTER(A:A, I:I&gt;=4)),
   COUNTUNIQUE(FILTER(A:A, I:I=I547))
)"),2)</f>
        <v>2</v>
      </c>
      <c r="L547" s="36"/>
      <c r="M547" s="36"/>
      <c r="N547" s="36"/>
    </row>
    <row r="548" spans="1:14" ht="15" x14ac:dyDescent="0.25">
      <c r="A548" s="33" t="s">
        <v>115</v>
      </c>
      <c r="B548" s="34">
        <v>45710</v>
      </c>
      <c r="C548" s="35" t="str">
        <f t="shared" si="17"/>
        <v>02-2025</v>
      </c>
      <c r="D548" s="36" t="s">
        <v>35</v>
      </c>
      <c r="E548" s="36" t="s">
        <v>39</v>
      </c>
      <c r="F548" s="37">
        <v>45.53</v>
      </c>
      <c r="G548" s="36" t="s">
        <v>30</v>
      </c>
      <c r="H548" s="37">
        <f t="shared" si="1"/>
        <v>1</v>
      </c>
      <c r="I548" s="37">
        <f t="shared" si="18"/>
        <v>4</v>
      </c>
      <c r="J548" s="37" t="str">
        <f>IF(COUNTIF($A$2:A548,A548)=1,"New","Repeat")</f>
        <v>Repeat</v>
      </c>
      <c r="K548" s="37">
        <f ca="1">IFERROR(__xludf.DUMMYFUNCTION("IF(I548=""4+"",
   COUNTUNIQUE(FILTER(A:A, I:I&gt;=4)),
   COUNTUNIQUE(FILTER(A:A, I:I=I548))
)"),32)</f>
        <v>32</v>
      </c>
      <c r="L548" s="36"/>
      <c r="M548" s="36"/>
      <c r="N548" s="36"/>
    </row>
    <row r="549" spans="1:14" ht="15" x14ac:dyDescent="0.25">
      <c r="A549" s="33" t="s">
        <v>86</v>
      </c>
      <c r="B549" s="39">
        <v>45941</v>
      </c>
      <c r="C549" s="35" t="str">
        <f t="shared" si="17"/>
        <v>10-2025</v>
      </c>
      <c r="D549" s="36" t="s">
        <v>18</v>
      </c>
      <c r="E549" s="36" t="s">
        <v>21</v>
      </c>
      <c r="F549" s="37">
        <v>494.33</v>
      </c>
      <c r="G549" s="36" t="s">
        <v>30</v>
      </c>
      <c r="H549" s="37">
        <f t="shared" si="1"/>
        <v>1</v>
      </c>
      <c r="I549" s="37">
        <f t="shared" si="18"/>
        <v>7</v>
      </c>
      <c r="J549" s="37" t="str">
        <f>IF(COUNTIF($A$2:A549,A549)=1,"New","Repeat")</f>
        <v>Repeat</v>
      </c>
      <c r="K549" s="37">
        <f ca="1">IFERROR(__xludf.DUMMYFUNCTION("IF(I549=""4+"",
   COUNTUNIQUE(FILTER(A:A, I:I&gt;=4)),
   COUNTUNIQUE(FILTER(A:A, I:I=I549))
)"),4)</f>
        <v>4</v>
      </c>
      <c r="L549" s="36"/>
      <c r="M549" s="36"/>
      <c r="N549" s="36"/>
    </row>
    <row r="550" spans="1:14" ht="15" x14ac:dyDescent="0.25">
      <c r="A550" s="33" t="s">
        <v>99</v>
      </c>
      <c r="B550" s="34">
        <v>45752</v>
      </c>
      <c r="C550" s="35" t="str">
        <f t="shared" si="17"/>
        <v>04-2025</v>
      </c>
      <c r="D550" s="36" t="s">
        <v>14</v>
      </c>
      <c r="E550" s="36" t="s">
        <v>96</v>
      </c>
      <c r="F550" s="37">
        <v>122.44</v>
      </c>
      <c r="G550" s="36" t="s">
        <v>25</v>
      </c>
      <c r="H550" s="37">
        <f t="shared" si="1"/>
        <v>1</v>
      </c>
      <c r="I550" s="37">
        <f t="shared" si="18"/>
        <v>3</v>
      </c>
      <c r="J550" s="37" t="str">
        <f>IF(COUNTIF($A$2:A550,A550)=1,"New","Repeat")</f>
        <v>Repeat</v>
      </c>
      <c r="K550" s="37">
        <f ca="1">IFERROR(__xludf.DUMMYFUNCTION("IF(I550=""4+"",
   COUNTUNIQUE(FILTER(A:A, I:I&gt;=4)),
   COUNTUNIQUE(FILTER(A:A, I:I=I550))
)"),42)</f>
        <v>42</v>
      </c>
      <c r="L550" s="36"/>
      <c r="M550" s="36"/>
      <c r="N550" s="36"/>
    </row>
    <row r="551" spans="1:14" ht="15" x14ac:dyDescent="0.25">
      <c r="A551" s="33" t="s">
        <v>80</v>
      </c>
      <c r="B551" s="34">
        <v>45970</v>
      </c>
      <c r="C551" s="35" t="str">
        <f t="shared" si="17"/>
        <v>11-2025</v>
      </c>
      <c r="D551" s="36" t="s">
        <v>28</v>
      </c>
      <c r="E551" s="36" t="s">
        <v>45</v>
      </c>
      <c r="F551" s="37">
        <v>79.13</v>
      </c>
      <c r="G551" s="36" t="s">
        <v>30</v>
      </c>
      <c r="H551" s="37">
        <f t="shared" si="1"/>
        <v>1</v>
      </c>
      <c r="I551" s="37">
        <f t="shared" si="18"/>
        <v>6</v>
      </c>
      <c r="J551" s="37" t="str">
        <f>IF(COUNTIF($A$2:A551,A551)=1,"New","Repeat")</f>
        <v>Repeat</v>
      </c>
      <c r="K551" s="37">
        <f ca="1">IFERROR(__xludf.DUMMYFUNCTION("IF(I551=""4+"",
   COUNTUNIQUE(FILTER(A:A, I:I&gt;=4)),
   COUNTUNIQUE(FILTER(A:A, I:I=I551))
)"),19)</f>
        <v>19</v>
      </c>
      <c r="L551" s="36"/>
      <c r="M551" s="36"/>
      <c r="N551" s="36"/>
    </row>
    <row r="552" spans="1:14" ht="15" x14ac:dyDescent="0.25">
      <c r="A552" s="33" t="s">
        <v>61</v>
      </c>
      <c r="B552" s="34">
        <v>45797</v>
      </c>
      <c r="C552" s="35" t="str">
        <f t="shared" si="17"/>
        <v>05-2025</v>
      </c>
      <c r="D552" s="36" t="s">
        <v>51</v>
      </c>
      <c r="E552" s="36" t="s">
        <v>52</v>
      </c>
      <c r="F552" s="37">
        <v>490.64</v>
      </c>
      <c r="G552" s="36" t="s">
        <v>33</v>
      </c>
      <c r="H552" s="37">
        <f t="shared" si="1"/>
        <v>1</v>
      </c>
      <c r="I552" s="37">
        <f t="shared" si="18"/>
        <v>6</v>
      </c>
      <c r="J552" s="37" t="str">
        <f>IF(COUNTIF($A$2:A552,A552)=1,"New","Repeat")</f>
        <v>Repeat</v>
      </c>
      <c r="K552" s="37">
        <f ca="1">IFERROR(__xludf.DUMMYFUNCTION("IF(I552=""4+"",
   COUNTUNIQUE(FILTER(A:A, I:I&gt;=4)),
   COUNTUNIQUE(FILTER(A:A, I:I=I552))
)"),19)</f>
        <v>19</v>
      </c>
      <c r="L552" s="36"/>
      <c r="M552" s="36"/>
      <c r="N552" s="36"/>
    </row>
    <row r="553" spans="1:14" ht="15" x14ac:dyDescent="0.25">
      <c r="A553" s="33" t="s">
        <v>186</v>
      </c>
      <c r="B553" s="34">
        <v>45911</v>
      </c>
      <c r="C553" s="35" t="str">
        <f t="shared" si="17"/>
        <v>09-2025</v>
      </c>
      <c r="D553" s="36" t="s">
        <v>35</v>
      </c>
      <c r="E553" s="36" t="s">
        <v>39</v>
      </c>
      <c r="F553" s="37">
        <v>343.55</v>
      </c>
      <c r="G553" s="36" t="s">
        <v>22</v>
      </c>
      <c r="H553" s="37">
        <f t="shared" si="1"/>
        <v>1</v>
      </c>
      <c r="I553" s="37">
        <f t="shared" si="18"/>
        <v>4</v>
      </c>
      <c r="J553" s="37" t="str">
        <f>IF(COUNTIF($A$2:A553,A553)=1,"New","Repeat")</f>
        <v>Repeat</v>
      </c>
      <c r="K553" s="37">
        <f ca="1">IFERROR(__xludf.DUMMYFUNCTION("IF(I553=""4+"",
   COUNTUNIQUE(FILTER(A:A, I:I&gt;=4)),
   COUNTUNIQUE(FILTER(A:A, I:I=I553))
)"),32)</f>
        <v>32</v>
      </c>
      <c r="L553" s="36"/>
      <c r="M553" s="36"/>
      <c r="N553" s="36"/>
    </row>
    <row r="554" spans="1:14" ht="15" x14ac:dyDescent="0.25">
      <c r="A554" s="33" t="s">
        <v>110</v>
      </c>
      <c r="B554" s="34">
        <v>45870</v>
      </c>
      <c r="C554" s="35" t="str">
        <f t="shared" si="17"/>
        <v>08-2025</v>
      </c>
      <c r="D554" s="36" t="s">
        <v>14</v>
      </c>
      <c r="E554" s="36" t="s">
        <v>15</v>
      </c>
      <c r="F554" s="37">
        <v>490.34</v>
      </c>
      <c r="G554" s="36" t="s">
        <v>22</v>
      </c>
      <c r="H554" s="37">
        <f t="shared" si="1"/>
        <v>1</v>
      </c>
      <c r="I554" s="37">
        <f t="shared" si="18"/>
        <v>4</v>
      </c>
      <c r="J554" s="37" t="str">
        <f>IF(COUNTIF($A$2:A554,A554)=1,"New","Repeat")</f>
        <v>Repeat</v>
      </c>
      <c r="K554" s="37">
        <f ca="1">IFERROR(__xludf.DUMMYFUNCTION("IF(I554=""4+"",
   COUNTUNIQUE(FILTER(A:A, I:I&gt;=4)),
   COUNTUNIQUE(FILTER(A:A, I:I=I554))
)"),32)</f>
        <v>32</v>
      </c>
      <c r="L554" s="36"/>
      <c r="M554" s="36"/>
      <c r="N554" s="36"/>
    </row>
    <row r="555" spans="1:14" ht="15" x14ac:dyDescent="0.25">
      <c r="A555" s="33" t="s">
        <v>159</v>
      </c>
      <c r="B555" s="34">
        <v>46062</v>
      </c>
      <c r="C555" s="35" t="str">
        <f t="shared" si="17"/>
        <v>02-2026</v>
      </c>
      <c r="D555" s="36" t="s">
        <v>14</v>
      </c>
      <c r="E555" s="36" t="s">
        <v>32</v>
      </c>
      <c r="F555" s="37">
        <v>180.9</v>
      </c>
      <c r="G555" s="36" t="s">
        <v>37</v>
      </c>
      <c r="H555" s="37">
        <f t="shared" si="1"/>
        <v>1</v>
      </c>
      <c r="I555" s="37">
        <f t="shared" si="18"/>
        <v>4</v>
      </c>
      <c r="J555" s="37" t="str">
        <f>IF(COUNTIF($A$2:A555,A555)=1,"New","Repeat")</f>
        <v>Repeat</v>
      </c>
      <c r="K555" s="37">
        <f ca="1">IFERROR(__xludf.DUMMYFUNCTION("IF(I555=""4+"",
   COUNTUNIQUE(FILTER(A:A, I:I&gt;=4)),
   COUNTUNIQUE(FILTER(A:A, I:I=I555))
)"),32)</f>
        <v>32</v>
      </c>
      <c r="L555" s="36"/>
      <c r="M555" s="36"/>
      <c r="N555" s="36"/>
    </row>
    <row r="556" spans="1:14" ht="15" x14ac:dyDescent="0.25">
      <c r="A556" s="33" t="s">
        <v>53</v>
      </c>
      <c r="B556" s="34">
        <v>45919</v>
      </c>
      <c r="C556" s="35" t="str">
        <f t="shared" si="17"/>
        <v>09-2025</v>
      </c>
      <c r="D556" s="36" t="s">
        <v>14</v>
      </c>
      <c r="E556" s="36" t="s">
        <v>96</v>
      </c>
      <c r="F556" s="37">
        <v>122.19</v>
      </c>
      <c r="G556" s="36" t="s">
        <v>30</v>
      </c>
      <c r="H556" s="37">
        <f t="shared" si="1"/>
        <v>1</v>
      </c>
      <c r="I556" s="37">
        <f t="shared" si="18"/>
        <v>3</v>
      </c>
      <c r="J556" s="37" t="str">
        <f>IF(COUNTIF($A$2:A556,A556)=1,"New","Repeat")</f>
        <v>Repeat</v>
      </c>
      <c r="K556" s="37">
        <f ca="1">IFERROR(__xludf.DUMMYFUNCTION("IF(I556=""4+"",
   COUNTUNIQUE(FILTER(A:A, I:I&gt;=4)),
   COUNTUNIQUE(FILTER(A:A, I:I=I556))
)"),42)</f>
        <v>42</v>
      </c>
      <c r="L556" s="36"/>
      <c r="M556" s="36"/>
      <c r="N556" s="36"/>
    </row>
    <row r="557" spans="1:14" ht="15" x14ac:dyDescent="0.25">
      <c r="A557" s="33" t="s">
        <v>140</v>
      </c>
      <c r="B557" s="39">
        <v>46008</v>
      </c>
      <c r="C557" s="35" t="str">
        <f t="shared" si="17"/>
        <v>12-2025</v>
      </c>
      <c r="D557" s="36" t="s">
        <v>18</v>
      </c>
      <c r="E557" s="36" t="s">
        <v>19</v>
      </c>
      <c r="F557" s="37">
        <v>389.91</v>
      </c>
      <c r="G557" s="36" t="s">
        <v>16</v>
      </c>
      <c r="H557" s="37">
        <f t="shared" si="1"/>
        <v>1</v>
      </c>
      <c r="I557" s="37">
        <f t="shared" si="18"/>
        <v>6</v>
      </c>
      <c r="J557" s="37" t="str">
        <f>IF(COUNTIF($A$2:A557,A557)=1,"New","Repeat")</f>
        <v>Repeat</v>
      </c>
      <c r="K557" s="37">
        <f ca="1">IFERROR(__xludf.DUMMYFUNCTION("IF(I557=""4+"",
   COUNTUNIQUE(FILTER(A:A, I:I&gt;=4)),
   COUNTUNIQUE(FILTER(A:A, I:I=I557))
)"),19)</f>
        <v>19</v>
      </c>
      <c r="L557" s="36"/>
      <c r="M557" s="36"/>
      <c r="N557" s="36"/>
    </row>
    <row r="558" spans="1:14" ht="15" x14ac:dyDescent="0.25">
      <c r="A558" s="33" t="s">
        <v>122</v>
      </c>
      <c r="B558" s="34">
        <v>45749</v>
      </c>
      <c r="C558" s="35" t="str">
        <f t="shared" si="17"/>
        <v>04-2025</v>
      </c>
      <c r="D558" s="36" t="s">
        <v>28</v>
      </c>
      <c r="E558" s="36" t="s">
        <v>45</v>
      </c>
      <c r="F558" s="37">
        <v>38.99</v>
      </c>
      <c r="G558" s="36" t="s">
        <v>22</v>
      </c>
      <c r="H558" s="37">
        <f t="shared" si="1"/>
        <v>1</v>
      </c>
      <c r="I558" s="37">
        <f t="shared" si="18"/>
        <v>5</v>
      </c>
      <c r="J558" s="37" t="str">
        <f>IF(COUNTIF($A$2:A558,A558)=1,"New","Repeat")</f>
        <v>Repeat</v>
      </c>
      <c r="K558" s="37">
        <f ca="1">IFERROR(__xludf.DUMMYFUNCTION("IF(I558=""4+"",
   COUNTUNIQUE(FILTER(A:A, I:I&gt;=4)),
   COUNTUNIQUE(FILTER(A:A, I:I=I558))
)"),34)</f>
        <v>34</v>
      </c>
      <c r="L558" s="36"/>
      <c r="M558" s="36"/>
      <c r="N558" s="36"/>
    </row>
    <row r="559" spans="1:14" ht="15" x14ac:dyDescent="0.25">
      <c r="A559" s="33" t="s">
        <v>69</v>
      </c>
      <c r="B559" s="34">
        <v>45830</v>
      </c>
      <c r="C559" s="35" t="str">
        <f t="shared" si="17"/>
        <v>06-2025</v>
      </c>
      <c r="D559" s="36" t="s">
        <v>18</v>
      </c>
      <c r="E559" s="36" t="s">
        <v>21</v>
      </c>
      <c r="F559" s="37">
        <v>182.26</v>
      </c>
      <c r="G559" s="36" t="s">
        <v>33</v>
      </c>
      <c r="H559" s="37">
        <f t="shared" si="1"/>
        <v>1</v>
      </c>
      <c r="I559" s="37">
        <f t="shared" si="18"/>
        <v>4</v>
      </c>
      <c r="J559" s="37" t="str">
        <f>IF(COUNTIF($A$2:A559,A559)=1,"New","Repeat")</f>
        <v>Repeat</v>
      </c>
      <c r="K559" s="37">
        <f ca="1">IFERROR(__xludf.DUMMYFUNCTION("IF(I559=""4+"",
   COUNTUNIQUE(FILTER(A:A, I:I&gt;=4)),
   COUNTUNIQUE(FILTER(A:A, I:I=I559))
)"),32)</f>
        <v>32</v>
      </c>
      <c r="L559" s="36"/>
      <c r="M559" s="36"/>
      <c r="N559" s="36"/>
    </row>
    <row r="560" spans="1:14" ht="15" x14ac:dyDescent="0.25">
      <c r="A560" s="33" t="s">
        <v>163</v>
      </c>
      <c r="B560" s="34">
        <v>45883</v>
      </c>
      <c r="C560" s="35" t="str">
        <f t="shared" si="17"/>
        <v>08-2025</v>
      </c>
      <c r="D560" s="36" t="s">
        <v>18</v>
      </c>
      <c r="E560" s="36" t="s">
        <v>24</v>
      </c>
      <c r="F560" s="37">
        <v>124.84</v>
      </c>
      <c r="G560" s="36" t="s">
        <v>16</v>
      </c>
      <c r="H560" s="37">
        <f t="shared" si="1"/>
        <v>1</v>
      </c>
      <c r="I560" s="37">
        <f t="shared" si="18"/>
        <v>4</v>
      </c>
      <c r="J560" s="37" t="str">
        <f>IF(COUNTIF($A$2:A560,A560)=1,"New","Repeat")</f>
        <v>Repeat</v>
      </c>
      <c r="K560" s="37">
        <f ca="1">IFERROR(__xludf.DUMMYFUNCTION("IF(I560=""4+"",
   COUNTUNIQUE(FILTER(A:A, I:I&gt;=4)),
   COUNTUNIQUE(FILTER(A:A, I:I=I560))
)"),32)</f>
        <v>32</v>
      </c>
      <c r="L560" s="36"/>
      <c r="M560" s="36"/>
      <c r="N560" s="36"/>
    </row>
    <row r="561" spans="1:14" ht="15" x14ac:dyDescent="0.25">
      <c r="A561" s="33" t="s">
        <v>214</v>
      </c>
      <c r="B561" s="34">
        <v>45760</v>
      </c>
      <c r="C561" s="35" t="str">
        <f t="shared" si="17"/>
        <v>04-2025</v>
      </c>
      <c r="D561" s="36" t="s">
        <v>28</v>
      </c>
      <c r="E561" s="36" t="s">
        <v>43</v>
      </c>
      <c r="F561" s="37">
        <v>40.92</v>
      </c>
      <c r="G561" s="36" t="s">
        <v>22</v>
      </c>
      <c r="H561" s="37">
        <f t="shared" si="1"/>
        <v>1</v>
      </c>
      <c r="I561" s="37">
        <f t="shared" si="18"/>
        <v>4</v>
      </c>
      <c r="J561" s="37" t="str">
        <f>IF(COUNTIF($A$2:A561,A561)=1,"New","Repeat")</f>
        <v>Repeat</v>
      </c>
      <c r="K561" s="37">
        <f ca="1">IFERROR(__xludf.DUMMYFUNCTION("IF(I561=""4+"",
   COUNTUNIQUE(FILTER(A:A, I:I&gt;=4)),
   COUNTUNIQUE(FILTER(A:A, I:I=I561))
)"),32)</f>
        <v>32</v>
      </c>
      <c r="L561" s="36"/>
      <c r="M561" s="36"/>
      <c r="N561" s="36"/>
    </row>
    <row r="562" spans="1:14" ht="15" x14ac:dyDescent="0.25">
      <c r="A562" s="33" t="s">
        <v>177</v>
      </c>
      <c r="B562" s="34">
        <v>45770</v>
      </c>
      <c r="C562" s="35" t="str">
        <f t="shared" si="17"/>
        <v>04-2025</v>
      </c>
      <c r="D562" s="36" t="s">
        <v>28</v>
      </c>
      <c r="E562" s="36" t="s">
        <v>87</v>
      </c>
      <c r="F562" s="37">
        <v>311.41000000000003</v>
      </c>
      <c r="G562" s="36" t="s">
        <v>22</v>
      </c>
      <c r="H562" s="37">
        <f t="shared" si="1"/>
        <v>1</v>
      </c>
      <c r="I562" s="37">
        <f t="shared" si="18"/>
        <v>6</v>
      </c>
      <c r="J562" s="37" t="str">
        <f>IF(COUNTIF($A$2:A562,A562)=1,"New","Repeat")</f>
        <v>Repeat</v>
      </c>
      <c r="K562" s="37">
        <f ca="1">IFERROR(__xludf.DUMMYFUNCTION("IF(I562=""4+"",
   COUNTUNIQUE(FILTER(A:A, I:I&gt;=4)),
   COUNTUNIQUE(FILTER(A:A, I:I=I562))
)"),19)</f>
        <v>19</v>
      </c>
      <c r="L562" s="36"/>
      <c r="M562" s="36"/>
      <c r="N562" s="36"/>
    </row>
    <row r="563" spans="1:14" ht="15" x14ac:dyDescent="0.25">
      <c r="A563" s="33" t="s">
        <v>139</v>
      </c>
      <c r="B563" s="34">
        <v>45932</v>
      </c>
      <c r="C563" s="35" t="str">
        <f t="shared" si="17"/>
        <v>10-2025</v>
      </c>
      <c r="D563" s="36" t="s">
        <v>51</v>
      </c>
      <c r="E563" s="36" t="s">
        <v>101</v>
      </c>
      <c r="F563" s="37">
        <v>180.61</v>
      </c>
      <c r="G563" s="36" t="s">
        <v>37</v>
      </c>
      <c r="H563" s="37">
        <f t="shared" si="1"/>
        <v>1</v>
      </c>
      <c r="I563" s="37">
        <f t="shared" si="18"/>
        <v>5</v>
      </c>
      <c r="J563" s="37" t="str">
        <f>IF(COUNTIF($A$2:A563,A563)=1,"New","Repeat")</f>
        <v>Repeat</v>
      </c>
      <c r="K563" s="37">
        <f ca="1">IFERROR(__xludf.DUMMYFUNCTION("IF(I563=""4+"",
   COUNTUNIQUE(FILTER(A:A, I:I&gt;=4)),
   COUNTUNIQUE(FILTER(A:A, I:I=I563))
)"),34)</f>
        <v>34</v>
      </c>
      <c r="L563" s="36"/>
      <c r="M563" s="36"/>
      <c r="N563" s="36"/>
    </row>
    <row r="564" spans="1:14" ht="15" x14ac:dyDescent="0.25">
      <c r="A564" s="33" t="s">
        <v>212</v>
      </c>
      <c r="B564" s="34">
        <v>45747</v>
      </c>
      <c r="C564" s="35" t="str">
        <f t="shared" si="17"/>
        <v>03-2025</v>
      </c>
      <c r="D564" s="36" t="s">
        <v>35</v>
      </c>
      <c r="E564" s="36" t="s">
        <v>36</v>
      </c>
      <c r="F564" s="37">
        <v>168.14</v>
      </c>
      <c r="G564" s="36" t="s">
        <v>25</v>
      </c>
      <c r="H564" s="37">
        <f t="shared" si="1"/>
        <v>1</v>
      </c>
      <c r="I564" s="37">
        <f t="shared" si="18"/>
        <v>3</v>
      </c>
      <c r="J564" s="37" t="str">
        <f>IF(COUNTIF($A$2:A564,A564)=1,"New","Repeat")</f>
        <v>Repeat</v>
      </c>
      <c r="K564" s="37">
        <f ca="1">IFERROR(__xludf.DUMMYFUNCTION("IF(I564=""4+"",
   COUNTUNIQUE(FILTER(A:A, I:I&gt;=4)),
   COUNTUNIQUE(FILTER(A:A, I:I=I564))
)"),42)</f>
        <v>42</v>
      </c>
      <c r="L564" s="36"/>
      <c r="M564" s="36"/>
      <c r="N564" s="36"/>
    </row>
    <row r="565" spans="1:14" ht="15" x14ac:dyDescent="0.25">
      <c r="A565" s="33" t="s">
        <v>207</v>
      </c>
      <c r="B565" s="34">
        <v>46040</v>
      </c>
      <c r="C565" s="35" t="str">
        <f t="shared" si="17"/>
        <v>01-2026</v>
      </c>
      <c r="D565" s="36" t="s">
        <v>51</v>
      </c>
      <c r="E565" s="36" t="s">
        <v>68</v>
      </c>
      <c r="F565" s="37">
        <v>283.36</v>
      </c>
      <c r="G565" s="36" t="s">
        <v>25</v>
      </c>
      <c r="H565" s="37">
        <f t="shared" si="1"/>
        <v>1</v>
      </c>
      <c r="I565" s="37">
        <f t="shared" si="18"/>
        <v>2</v>
      </c>
      <c r="J565" s="37" t="str">
        <f>IF(COUNTIF($A$2:A565,A565)=1,"New","Repeat")</f>
        <v>Repeat</v>
      </c>
      <c r="K565" s="37">
        <f ca="1">IFERROR(__xludf.DUMMYFUNCTION("IF(I565=""4+"",
   COUNTUNIQUE(FILTER(A:A, I:I&gt;=4)),
   COUNTUNIQUE(FILTER(A:A, I:I=I565))
)"),37)</f>
        <v>37</v>
      </c>
      <c r="L565" s="36"/>
      <c r="M565" s="36"/>
      <c r="N565" s="36"/>
    </row>
    <row r="566" spans="1:14" ht="15" x14ac:dyDescent="0.25">
      <c r="A566" s="33" t="s">
        <v>153</v>
      </c>
      <c r="B566" s="39">
        <v>46022</v>
      </c>
      <c r="C566" s="35" t="str">
        <f t="shared" si="17"/>
        <v>12-2025</v>
      </c>
      <c r="D566" s="36" t="s">
        <v>51</v>
      </c>
      <c r="E566" s="36" t="s">
        <v>145</v>
      </c>
      <c r="F566" s="37">
        <v>433.24</v>
      </c>
      <c r="G566" s="36" t="s">
        <v>30</v>
      </c>
      <c r="H566" s="37">
        <f t="shared" si="1"/>
        <v>1</v>
      </c>
      <c r="I566" s="37">
        <f t="shared" si="18"/>
        <v>3</v>
      </c>
      <c r="J566" s="37" t="str">
        <f>IF(COUNTIF($A$2:A566,A566)=1,"New","Repeat")</f>
        <v>Repeat</v>
      </c>
      <c r="K566" s="37">
        <f ca="1">IFERROR(__xludf.DUMMYFUNCTION("IF(I566=""4+"",
   COUNTUNIQUE(FILTER(A:A, I:I&gt;=4)),
   COUNTUNIQUE(FILTER(A:A, I:I=I566))
)"),42)</f>
        <v>42</v>
      </c>
      <c r="L566" s="36"/>
      <c r="M566" s="36"/>
      <c r="N566" s="36"/>
    </row>
    <row r="567" spans="1:14" ht="15" x14ac:dyDescent="0.25">
      <c r="A567" s="33" t="s">
        <v>239</v>
      </c>
      <c r="B567" s="34">
        <v>45909</v>
      </c>
      <c r="C567" s="35" t="str">
        <f t="shared" si="17"/>
        <v>09-2025</v>
      </c>
      <c r="D567" s="36" t="s">
        <v>28</v>
      </c>
      <c r="E567" s="36" t="s">
        <v>29</v>
      </c>
      <c r="F567" s="37">
        <v>452.64</v>
      </c>
      <c r="G567" s="36" t="s">
        <v>30</v>
      </c>
      <c r="H567" s="37">
        <f t="shared" si="1"/>
        <v>1</v>
      </c>
      <c r="I567" s="37">
        <f t="shared" si="18"/>
        <v>3</v>
      </c>
      <c r="J567" s="37" t="str">
        <f>IF(COUNTIF($A$2:A567,A567)=1,"New","Repeat")</f>
        <v>New</v>
      </c>
      <c r="K567" s="37">
        <f ca="1">IFERROR(__xludf.DUMMYFUNCTION("IF(I567=""4+"",
   COUNTUNIQUE(FILTER(A:A, I:I&gt;=4)),
   COUNTUNIQUE(FILTER(A:A, I:I=I567))
)"),42)</f>
        <v>42</v>
      </c>
      <c r="L567" s="36"/>
      <c r="M567" s="36"/>
      <c r="N567" s="36"/>
    </row>
    <row r="568" spans="1:14" ht="15" x14ac:dyDescent="0.25">
      <c r="A568" s="33" t="s">
        <v>139</v>
      </c>
      <c r="B568" s="34">
        <v>46034</v>
      </c>
      <c r="C568" s="35" t="str">
        <f t="shared" si="17"/>
        <v>01-2026</v>
      </c>
      <c r="D568" s="36" t="s">
        <v>28</v>
      </c>
      <c r="E568" s="36" t="s">
        <v>43</v>
      </c>
      <c r="F568" s="37">
        <v>253.4</v>
      </c>
      <c r="G568" s="36" t="s">
        <v>25</v>
      </c>
      <c r="H568" s="37">
        <f t="shared" si="1"/>
        <v>1</v>
      </c>
      <c r="I568" s="37">
        <f t="shared" si="18"/>
        <v>5</v>
      </c>
      <c r="J568" s="37" t="str">
        <f>IF(COUNTIF($A$2:A568,A568)=1,"New","Repeat")</f>
        <v>Repeat</v>
      </c>
      <c r="K568" s="37">
        <f ca="1">IFERROR(__xludf.DUMMYFUNCTION("IF(I568=""4+"",
   COUNTUNIQUE(FILTER(A:A, I:I&gt;=4)),
   COUNTUNIQUE(FILTER(A:A, I:I=I568))
)"),34)</f>
        <v>34</v>
      </c>
      <c r="L568" s="36"/>
      <c r="M568" s="36"/>
      <c r="N568" s="36"/>
    </row>
    <row r="569" spans="1:14" ht="15" x14ac:dyDescent="0.25">
      <c r="A569" s="33" t="s">
        <v>53</v>
      </c>
      <c r="B569" s="34">
        <v>46031</v>
      </c>
      <c r="C569" s="35" t="str">
        <f t="shared" si="17"/>
        <v>01-2026</v>
      </c>
      <c r="D569" s="36" t="s">
        <v>18</v>
      </c>
      <c r="E569" s="36" t="s">
        <v>19</v>
      </c>
      <c r="F569" s="37">
        <v>239.98</v>
      </c>
      <c r="G569" s="36" t="s">
        <v>37</v>
      </c>
      <c r="H569" s="37">
        <f t="shared" si="1"/>
        <v>1</v>
      </c>
      <c r="I569" s="37">
        <f t="shared" si="18"/>
        <v>3</v>
      </c>
      <c r="J569" s="37" t="str">
        <f>IF(COUNTIF($A$2:A569,A569)=1,"New","Repeat")</f>
        <v>Repeat</v>
      </c>
      <c r="K569" s="37">
        <f ca="1">IFERROR(__xludf.DUMMYFUNCTION("IF(I569=""4+"",
   COUNTUNIQUE(FILTER(A:A, I:I&gt;=4)),
   COUNTUNIQUE(FILTER(A:A, I:I=I569))
)"),42)</f>
        <v>42</v>
      </c>
      <c r="L569" s="36"/>
      <c r="M569" s="36"/>
      <c r="N569" s="36"/>
    </row>
    <row r="570" spans="1:14" ht="15" x14ac:dyDescent="0.25">
      <c r="A570" s="33" t="s">
        <v>230</v>
      </c>
      <c r="B570" s="34">
        <v>45764</v>
      </c>
      <c r="C570" s="35" t="str">
        <f t="shared" si="17"/>
        <v>04-2025</v>
      </c>
      <c r="D570" s="36" t="s">
        <v>35</v>
      </c>
      <c r="E570" s="36" t="s">
        <v>36</v>
      </c>
      <c r="F570" s="37">
        <v>165.97</v>
      </c>
      <c r="G570" s="36" t="s">
        <v>22</v>
      </c>
      <c r="H570" s="37">
        <f t="shared" si="1"/>
        <v>1</v>
      </c>
      <c r="I570" s="37">
        <f t="shared" si="18"/>
        <v>3</v>
      </c>
      <c r="J570" s="37" t="str">
        <f>IF(COUNTIF($A$2:A570,A570)=1,"New","Repeat")</f>
        <v>Repeat</v>
      </c>
      <c r="K570" s="37">
        <f ca="1">IFERROR(__xludf.DUMMYFUNCTION("IF(I570=""4+"",
   COUNTUNIQUE(FILTER(A:A, I:I&gt;=4)),
   COUNTUNIQUE(FILTER(A:A, I:I=I570))
)"),42)</f>
        <v>42</v>
      </c>
      <c r="L570" s="36"/>
      <c r="M570" s="36"/>
      <c r="N570" s="36"/>
    </row>
    <row r="571" spans="1:14" ht="15" x14ac:dyDescent="0.25">
      <c r="A571" s="33" t="s">
        <v>220</v>
      </c>
      <c r="B571" s="39">
        <v>46015</v>
      </c>
      <c r="C571" s="35" t="str">
        <f t="shared" si="17"/>
        <v>12-2025</v>
      </c>
      <c r="D571" s="36" t="s">
        <v>51</v>
      </c>
      <c r="E571" s="36" t="s">
        <v>145</v>
      </c>
      <c r="F571" s="37">
        <v>148.46</v>
      </c>
      <c r="G571" s="36" t="s">
        <v>22</v>
      </c>
      <c r="H571" s="37">
        <f t="shared" si="1"/>
        <v>1</v>
      </c>
      <c r="I571" s="37">
        <f t="shared" si="18"/>
        <v>3</v>
      </c>
      <c r="J571" s="37" t="str">
        <f>IF(COUNTIF($A$2:A571,A571)=1,"New","Repeat")</f>
        <v>Repeat</v>
      </c>
      <c r="K571" s="37">
        <f ca="1">IFERROR(__xludf.DUMMYFUNCTION("IF(I571=""4+"",
   COUNTUNIQUE(FILTER(A:A, I:I&gt;=4)),
   COUNTUNIQUE(FILTER(A:A, I:I=I571))
)"),42)</f>
        <v>42</v>
      </c>
      <c r="L571" s="36"/>
      <c r="M571" s="36"/>
      <c r="N571" s="36"/>
    </row>
    <row r="572" spans="1:14" ht="15" x14ac:dyDescent="0.25">
      <c r="A572" s="33" t="s">
        <v>240</v>
      </c>
      <c r="B572" s="34">
        <v>45933</v>
      </c>
      <c r="C572" s="35" t="str">
        <f t="shared" si="17"/>
        <v>10-2025</v>
      </c>
      <c r="D572" s="36" t="s">
        <v>18</v>
      </c>
      <c r="E572" s="36" t="s">
        <v>24</v>
      </c>
      <c r="F572" s="37">
        <v>105.4</v>
      </c>
      <c r="G572" s="36" t="s">
        <v>70</v>
      </c>
      <c r="H572" s="37">
        <f t="shared" si="1"/>
        <v>0</v>
      </c>
      <c r="I572" s="37">
        <f t="shared" si="18"/>
        <v>1</v>
      </c>
      <c r="J572" s="37" t="str">
        <f>IF(COUNTIF($A$2:A572,A572)=1,"New","Repeat")</f>
        <v>New</v>
      </c>
      <c r="K572" s="37">
        <f ca="1">IFERROR(__xludf.DUMMYFUNCTION("IF(I572=""4+"",
   COUNTUNIQUE(FILTER(A:A, I:I&gt;=4)),
   COUNTUNIQUE(FILTER(A:A, I:I=I572))
)"),24)</f>
        <v>24</v>
      </c>
      <c r="L572" s="36"/>
      <c r="M572" s="36"/>
      <c r="N572" s="36"/>
    </row>
    <row r="573" spans="1:14" ht="15" x14ac:dyDescent="0.25">
      <c r="A573" s="33" t="s">
        <v>154</v>
      </c>
      <c r="B573" s="34">
        <v>45858</v>
      </c>
      <c r="C573" s="35" t="str">
        <f t="shared" si="17"/>
        <v>07-2025</v>
      </c>
      <c r="D573" s="36" t="s">
        <v>28</v>
      </c>
      <c r="E573" s="36" t="s">
        <v>87</v>
      </c>
      <c r="F573" s="37">
        <v>187.66</v>
      </c>
      <c r="G573" s="36" t="s">
        <v>16</v>
      </c>
      <c r="H573" s="37">
        <f t="shared" si="1"/>
        <v>1</v>
      </c>
      <c r="I573" s="37">
        <f t="shared" si="18"/>
        <v>2</v>
      </c>
      <c r="J573" s="37" t="str">
        <f>IF(COUNTIF($A$2:A573,A573)=1,"New","Repeat")</f>
        <v>Repeat</v>
      </c>
      <c r="K573" s="37">
        <f ca="1">IFERROR(__xludf.DUMMYFUNCTION("IF(I573=""4+"",
   COUNTUNIQUE(FILTER(A:A, I:I&gt;=4)),
   COUNTUNIQUE(FILTER(A:A, I:I=I573))
)"),37)</f>
        <v>37</v>
      </c>
      <c r="L573" s="36"/>
      <c r="M573" s="36"/>
      <c r="N573" s="36"/>
    </row>
    <row r="574" spans="1:14" ht="15" x14ac:dyDescent="0.25">
      <c r="A574" s="33" t="s">
        <v>152</v>
      </c>
      <c r="B574" s="34">
        <v>45871</v>
      </c>
      <c r="C574" s="35" t="str">
        <f t="shared" si="17"/>
        <v>08-2025</v>
      </c>
      <c r="D574" s="36" t="s">
        <v>35</v>
      </c>
      <c r="E574" s="36" t="s">
        <v>39</v>
      </c>
      <c r="F574" s="37">
        <v>133.41999999999999</v>
      </c>
      <c r="G574" s="36" t="s">
        <v>16</v>
      </c>
      <c r="H574" s="37">
        <f t="shared" si="1"/>
        <v>1</v>
      </c>
      <c r="I574" s="37">
        <f t="shared" si="18"/>
        <v>5</v>
      </c>
      <c r="J574" s="37" t="str">
        <f>IF(COUNTIF($A$2:A574,A574)=1,"New","Repeat")</f>
        <v>Repeat</v>
      </c>
      <c r="K574" s="37">
        <f ca="1">IFERROR(__xludf.DUMMYFUNCTION("IF(I574=""4+"",
   COUNTUNIQUE(FILTER(A:A, I:I&gt;=4)),
   COUNTUNIQUE(FILTER(A:A, I:I=I574))
)"),34)</f>
        <v>34</v>
      </c>
      <c r="L574" s="36"/>
      <c r="M574" s="36"/>
      <c r="N574" s="36"/>
    </row>
    <row r="575" spans="1:14" ht="15" x14ac:dyDescent="0.25">
      <c r="A575" s="33" t="s">
        <v>26</v>
      </c>
      <c r="B575" s="34">
        <v>46045</v>
      </c>
      <c r="C575" s="35" t="str">
        <f t="shared" si="17"/>
        <v>01-2026</v>
      </c>
      <c r="D575" s="36" t="s">
        <v>51</v>
      </c>
      <c r="E575" s="36" t="s">
        <v>145</v>
      </c>
      <c r="F575" s="37">
        <v>137.66999999999999</v>
      </c>
      <c r="G575" s="36" t="s">
        <v>25</v>
      </c>
      <c r="H575" s="37">
        <f t="shared" si="1"/>
        <v>1</v>
      </c>
      <c r="I575" s="37">
        <f t="shared" si="18"/>
        <v>9</v>
      </c>
      <c r="J575" s="37" t="str">
        <f>IF(COUNTIF($A$2:A575,A575)=1,"New","Repeat")</f>
        <v>Repeat</v>
      </c>
      <c r="K575" s="37">
        <f ca="1">IFERROR(__xludf.DUMMYFUNCTION("IF(I575=""4+"",
   COUNTUNIQUE(FILTER(A:A, I:I&gt;=4)),
   COUNTUNIQUE(FILTER(A:A, I:I=I575))
)"),2)</f>
        <v>2</v>
      </c>
      <c r="L575" s="36"/>
      <c r="M575" s="36"/>
      <c r="N575" s="36"/>
    </row>
    <row r="576" spans="1:14" ht="15" x14ac:dyDescent="0.25">
      <c r="A576" s="33" t="s">
        <v>90</v>
      </c>
      <c r="B576" s="34">
        <v>45831</v>
      </c>
      <c r="C576" s="35" t="str">
        <f t="shared" si="17"/>
        <v>06-2025</v>
      </c>
      <c r="D576" s="36" t="s">
        <v>51</v>
      </c>
      <c r="E576" s="36" t="s">
        <v>72</v>
      </c>
      <c r="F576" s="37">
        <v>123.55</v>
      </c>
      <c r="G576" s="36" t="s">
        <v>70</v>
      </c>
      <c r="H576" s="37">
        <f t="shared" si="1"/>
        <v>1</v>
      </c>
      <c r="I576" s="37">
        <f t="shared" si="18"/>
        <v>5</v>
      </c>
      <c r="J576" s="37" t="str">
        <f>IF(COUNTIF($A$2:A576,A576)=1,"New","Repeat")</f>
        <v>Repeat</v>
      </c>
      <c r="K576" s="37">
        <f ca="1">IFERROR(__xludf.DUMMYFUNCTION("IF(I576=""4+"",
   COUNTUNIQUE(FILTER(A:A, I:I&gt;=4)),
   COUNTUNIQUE(FILTER(A:A, I:I=I576))
)"),34)</f>
        <v>34</v>
      </c>
      <c r="L576" s="36"/>
      <c r="M576" s="36"/>
      <c r="N576" s="36"/>
    </row>
    <row r="577" spans="1:14" ht="15" x14ac:dyDescent="0.25">
      <c r="A577" s="33" t="s">
        <v>195</v>
      </c>
      <c r="B577" s="39">
        <v>46010</v>
      </c>
      <c r="C577" s="35" t="str">
        <f t="shared" si="17"/>
        <v>12-2025</v>
      </c>
      <c r="D577" s="36" t="s">
        <v>51</v>
      </c>
      <c r="E577" s="36" t="s">
        <v>101</v>
      </c>
      <c r="F577" s="37">
        <v>195.7</v>
      </c>
      <c r="G577" s="36" t="s">
        <v>22</v>
      </c>
      <c r="H577" s="37">
        <f t="shared" si="1"/>
        <v>1</v>
      </c>
      <c r="I577" s="37">
        <f t="shared" si="18"/>
        <v>6</v>
      </c>
      <c r="J577" s="37" t="str">
        <f>IF(COUNTIF($A$2:A577,A577)=1,"New","Repeat")</f>
        <v>Repeat</v>
      </c>
      <c r="K577" s="37">
        <f ca="1">IFERROR(__xludf.DUMMYFUNCTION("IF(I577=""4+"",
   COUNTUNIQUE(FILTER(A:A, I:I&gt;=4)),
   COUNTUNIQUE(FILTER(A:A, I:I=I577))
)"),19)</f>
        <v>19</v>
      </c>
      <c r="L577" s="36"/>
      <c r="M577" s="36"/>
      <c r="N577" s="36"/>
    </row>
    <row r="578" spans="1:14" ht="15" x14ac:dyDescent="0.25">
      <c r="A578" s="33" t="s">
        <v>114</v>
      </c>
      <c r="B578" s="34">
        <v>45855</v>
      </c>
      <c r="C578" s="35" t="str">
        <f t="shared" ref="C578:C641" si="19">TEXT(B:B, "mm-yyyy")</f>
        <v>07-2025</v>
      </c>
      <c r="D578" s="36" t="s">
        <v>28</v>
      </c>
      <c r="E578" s="36" t="s">
        <v>87</v>
      </c>
      <c r="F578" s="37">
        <v>438.28</v>
      </c>
      <c r="G578" s="36" t="s">
        <v>70</v>
      </c>
      <c r="H578" s="37">
        <f t="shared" si="1"/>
        <v>1</v>
      </c>
      <c r="I578" s="37">
        <f t="shared" ref="I578:I641" si="20">COUNTIF($A:$A, A578)</f>
        <v>3</v>
      </c>
      <c r="J578" s="37" t="str">
        <f>IF(COUNTIF($A$2:A578,A578)=1,"New","Repeat")</f>
        <v>Repeat</v>
      </c>
      <c r="K578" s="37">
        <f ca="1">IFERROR(__xludf.DUMMYFUNCTION("IF(I578=""4+"",
   COUNTUNIQUE(FILTER(A:A, I:I&gt;=4)),
   COUNTUNIQUE(FILTER(A:A, I:I=I578))
)"),42)</f>
        <v>42</v>
      </c>
      <c r="L578" s="36"/>
      <c r="M578" s="36"/>
      <c r="N578" s="36"/>
    </row>
    <row r="579" spans="1:14" ht="15" x14ac:dyDescent="0.25">
      <c r="A579" s="33" t="s">
        <v>146</v>
      </c>
      <c r="B579" s="34">
        <v>45933</v>
      </c>
      <c r="C579" s="35" t="str">
        <f t="shared" si="19"/>
        <v>10-2025</v>
      </c>
      <c r="D579" s="36" t="s">
        <v>35</v>
      </c>
      <c r="E579" s="36" t="s">
        <v>58</v>
      </c>
      <c r="F579" s="37">
        <v>92.46</v>
      </c>
      <c r="G579" s="36" t="s">
        <v>30</v>
      </c>
      <c r="H579" s="37">
        <f t="shared" si="1"/>
        <v>1</v>
      </c>
      <c r="I579" s="37">
        <f t="shared" si="20"/>
        <v>4</v>
      </c>
      <c r="J579" s="37" t="str">
        <f>IF(COUNTIF($A$2:A579,A579)=1,"New","Repeat")</f>
        <v>Repeat</v>
      </c>
      <c r="K579" s="37">
        <f ca="1">IFERROR(__xludf.DUMMYFUNCTION("IF(I579=""4+"",
   COUNTUNIQUE(FILTER(A:A, I:I&gt;=4)),
   COUNTUNIQUE(FILTER(A:A, I:I=I579))
)"),32)</f>
        <v>32</v>
      </c>
      <c r="L579" s="36"/>
      <c r="M579" s="36"/>
      <c r="N579" s="36"/>
    </row>
    <row r="580" spans="1:14" ht="15" x14ac:dyDescent="0.25">
      <c r="A580" s="33" t="s">
        <v>99</v>
      </c>
      <c r="B580" s="34">
        <v>45964</v>
      </c>
      <c r="C580" s="35" t="str">
        <f t="shared" si="19"/>
        <v>11-2025</v>
      </c>
      <c r="D580" s="36" t="s">
        <v>28</v>
      </c>
      <c r="E580" s="36" t="s">
        <v>87</v>
      </c>
      <c r="F580" s="37">
        <v>342.83</v>
      </c>
      <c r="G580" s="36" t="s">
        <v>30</v>
      </c>
      <c r="H580" s="37">
        <f t="shared" si="1"/>
        <v>1</v>
      </c>
      <c r="I580" s="37">
        <f t="shared" si="20"/>
        <v>3</v>
      </c>
      <c r="J580" s="37" t="str">
        <f>IF(COUNTIF($A$2:A580,A580)=1,"New","Repeat")</f>
        <v>Repeat</v>
      </c>
      <c r="K580" s="37">
        <f ca="1">IFERROR(__xludf.DUMMYFUNCTION("IF(I580=""4+"",
   COUNTUNIQUE(FILTER(A:A, I:I&gt;=4)),
   COUNTUNIQUE(FILTER(A:A, I:I=I580))
)"),42)</f>
        <v>42</v>
      </c>
      <c r="L580" s="36"/>
      <c r="M580" s="36"/>
      <c r="N580" s="36"/>
    </row>
    <row r="581" spans="1:14" ht="15" x14ac:dyDescent="0.25">
      <c r="A581" s="33" t="s">
        <v>216</v>
      </c>
      <c r="B581" s="34">
        <v>45857</v>
      </c>
      <c r="C581" s="35" t="str">
        <f t="shared" si="19"/>
        <v>07-2025</v>
      </c>
      <c r="D581" s="36" t="s">
        <v>18</v>
      </c>
      <c r="E581" s="36" t="s">
        <v>65</v>
      </c>
      <c r="F581" s="37">
        <v>314.33999999999997</v>
      </c>
      <c r="G581" s="36" t="s">
        <v>33</v>
      </c>
      <c r="H581" s="37">
        <f t="shared" si="1"/>
        <v>1</v>
      </c>
      <c r="I581" s="37">
        <f t="shared" si="20"/>
        <v>6</v>
      </c>
      <c r="J581" s="37" t="str">
        <f>IF(COUNTIF($A$2:A581,A581)=1,"New","Repeat")</f>
        <v>Repeat</v>
      </c>
      <c r="K581" s="37">
        <f ca="1">IFERROR(__xludf.DUMMYFUNCTION("IF(I581=""4+"",
   COUNTUNIQUE(FILTER(A:A, I:I&gt;=4)),
   COUNTUNIQUE(FILTER(A:A, I:I=I581))
)"),19)</f>
        <v>19</v>
      </c>
      <c r="L581" s="36"/>
      <c r="M581" s="36"/>
      <c r="N581" s="36"/>
    </row>
    <row r="582" spans="1:14" ht="15" x14ac:dyDescent="0.25">
      <c r="A582" s="33" t="s">
        <v>167</v>
      </c>
      <c r="B582" s="34">
        <v>45877</v>
      </c>
      <c r="C582" s="35" t="str">
        <f t="shared" si="19"/>
        <v>08-2025</v>
      </c>
      <c r="D582" s="36" t="s">
        <v>35</v>
      </c>
      <c r="E582" s="36" t="s">
        <v>58</v>
      </c>
      <c r="F582" s="37">
        <v>208.92</v>
      </c>
      <c r="G582" s="36" t="s">
        <v>22</v>
      </c>
      <c r="H582" s="37">
        <f t="shared" si="1"/>
        <v>1</v>
      </c>
      <c r="I582" s="37">
        <f t="shared" si="20"/>
        <v>5</v>
      </c>
      <c r="J582" s="37" t="str">
        <f>IF(COUNTIF($A$2:A582,A582)=1,"New","Repeat")</f>
        <v>Repeat</v>
      </c>
      <c r="K582" s="37">
        <f ca="1">IFERROR(__xludf.DUMMYFUNCTION("IF(I582=""4+"",
   COUNTUNIQUE(FILTER(A:A, I:I&gt;=4)),
   COUNTUNIQUE(FILTER(A:A, I:I=I582))
)"),34)</f>
        <v>34</v>
      </c>
      <c r="L582" s="36"/>
      <c r="M582" s="36"/>
      <c r="N582" s="36"/>
    </row>
    <row r="583" spans="1:14" ht="15" x14ac:dyDescent="0.25">
      <c r="A583" s="33" t="s">
        <v>241</v>
      </c>
      <c r="B583" s="34">
        <v>45743</v>
      </c>
      <c r="C583" s="35" t="str">
        <f t="shared" si="19"/>
        <v>03-2025</v>
      </c>
      <c r="D583" s="36" t="s">
        <v>28</v>
      </c>
      <c r="E583" s="36" t="s">
        <v>43</v>
      </c>
      <c r="F583" s="37">
        <v>97.16</v>
      </c>
      <c r="G583" s="36" t="s">
        <v>30</v>
      </c>
      <c r="H583" s="37">
        <f t="shared" si="1"/>
        <v>0</v>
      </c>
      <c r="I583" s="37">
        <f t="shared" si="20"/>
        <v>1</v>
      </c>
      <c r="J583" s="37" t="str">
        <f>IF(COUNTIF($A$2:A583,A583)=1,"New","Repeat")</f>
        <v>New</v>
      </c>
      <c r="K583" s="37">
        <f ca="1">IFERROR(__xludf.DUMMYFUNCTION("IF(I583=""4+"",
   COUNTUNIQUE(FILTER(A:A, I:I&gt;=4)),
   COUNTUNIQUE(FILTER(A:A, I:I=I583))
)"),24)</f>
        <v>24</v>
      </c>
      <c r="L583" s="36"/>
      <c r="M583" s="36"/>
      <c r="N583" s="36"/>
    </row>
    <row r="584" spans="1:14" ht="15" x14ac:dyDescent="0.25">
      <c r="A584" s="33" t="s">
        <v>238</v>
      </c>
      <c r="B584" s="34">
        <v>46023</v>
      </c>
      <c r="C584" s="35" t="str">
        <f t="shared" si="19"/>
        <v>01-2026</v>
      </c>
      <c r="D584" s="36" t="s">
        <v>28</v>
      </c>
      <c r="E584" s="36" t="s">
        <v>45</v>
      </c>
      <c r="F584" s="37">
        <v>121.61</v>
      </c>
      <c r="G584" s="36" t="s">
        <v>25</v>
      </c>
      <c r="H584" s="37">
        <f t="shared" si="1"/>
        <v>1</v>
      </c>
      <c r="I584" s="37">
        <f t="shared" si="20"/>
        <v>3</v>
      </c>
      <c r="J584" s="37" t="str">
        <f>IF(COUNTIF($A$2:A584,A584)=1,"New","Repeat")</f>
        <v>Repeat</v>
      </c>
      <c r="K584" s="37">
        <f ca="1">IFERROR(__xludf.DUMMYFUNCTION("IF(I584=""4+"",
   COUNTUNIQUE(FILTER(A:A, I:I&gt;=4)),
   COUNTUNIQUE(FILTER(A:A, I:I=I584))
)"),42)</f>
        <v>42</v>
      </c>
      <c r="L584" s="36"/>
      <c r="M584" s="36"/>
      <c r="N584" s="36"/>
    </row>
    <row r="585" spans="1:14" ht="15" x14ac:dyDescent="0.25">
      <c r="A585" s="33" t="s">
        <v>242</v>
      </c>
      <c r="B585" s="34">
        <v>45825</v>
      </c>
      <c r="C585" s="35" t="str">
        <f t="shared" si="19"/>
        <v>06-2025</v>
      </c>
      <c r="D585" s="36" t="s">
        <v>28</v>
      </c>
      <c r="E585" s="36" t="s">
        <v>29</v>
      </c>
      <c r="F585" s="37">
        <v>384.81</v>
      </c>
      <c r="G585" s="36" t="s">
        <v>70</v>
      </c>
      <c r="H585" s="37">
        <f t="shared" si="1"/>
        <v>0</v>
      </c>
      <c r="I585" s="37">
        <f t="shared" si="20"/>
        <v>1</v>
      </c>
      <c r="J585" s="37" t="str">
        <f>IF(COUNTIF($A$2:A585,A585)=1,"New","Repeat")</f>
        <v>New</v>
      </c>
      <c r="K585" s="37">
        <f ca="1">IFERROR(__xludf.DUMMYFUNCTION("IF(I585=""4+"",
   COUNTUNIQUE(FILTER(A:A, I:I&gt;=4)),
   COUNTUNIQUE(FILTER(A:A, I:I=I585))
)"),24)</f>
        <v>24</v>
      </c>
      <c r="L585" s="36"/>
      <c r="M585" s="36"/>
      <c r="N585" s="36"/>
    </row>
    <row r="586" spans="1:14" ht="15" x14ac:dyDescent="0.25">
      <c r="A586" s="33" t="s">
        <v>31</v>
      </c>
      <c r="B586" s="39">
        <v>46007</v>
      </c>
      <c r="C586" s="35" t="str">
        <f t="shared" si="19"/>
        <v>12-2025</v>
      </c>
      <c r="D586" s="36" t="s">
        <v>35</v>
      </c>
      <c r="E586" s="36" t="s">
        <v>39</v>
      </c>
      <c r="F586" s="37">
        <v>75.33</v>
      </c>
      <c r="G586" s="36" t="s">
        <v>33</v>
      </c>
      <c r="H586" s="37">
        <f t="shared" si="1"/>
        <v>1</v>
      </c>
      <c r="I586" s="37">
        <f t="shared" si="20"/>
        <v>5</v>
      </c>
      <c r="J586" s="37" t="str">
        <f>IF(COUNTIF($A$2:A586,A586)=1,"New","Repeat")</f>
        <v>Repeat</v>
      </c>
      <c r="K586" s="37">
        <f ca="1">IFERROR(__xludf.DUMMYFUNCTION("IF(I586=""4+"",
   COUNTUNIQUE(FILTER(A:A, I:I&gt;=4)),
   COUNTUNIQUE(FILTER(A:A, I:I=I586))
)"),34)</f>
        <v>34</v>
      </c>
      <c r="L586" s="36"/>
      <c r="M586" s="36"/>
      <c r="N586" s="36"/>
    </row>
    <row r="587" spans="1:14" ht="15" x14ac:dyDescent="0.25">
      <c r="A587" s="33" t="s">
        <v>161</v>
      </c>
      <c r="B587" s="34">
        <v>46074</v>
      </c>
      <c r="C587" s="35" t="str">
        <f t="shared" si="19"/>
        <v>02-2026</v>
      </c>
      <c r="D587" s="36" t="s">
        <v>14</v>
      </c>
      <c r="E587" s="36" t="s">
        <v>41</v>
      </c>
      <c r="F587" s="37">
        <v>186.49</v>
      </c>
      <c r="G587" s="36" t="s">
        <v>22</v>
      </c>
      <c r="H587" s="37">
        <f t="shared" si="1"/>
        <v>1</v>
      </c>
      <c r="I587" s="37">
        <f t="shared" si="20"/>
        <v>6</v>
      </c>
      <c r="J587" s="37" t="str">
        <f>IF(COUNTIF($A$2:A587,A587)=1,"New","Repeat")</f>
        <v>Repeat</v>
      </c>
      <c r="K587" s="37">
        <f ca="1">IFERROR(__xludf.DUMMYFUNCTION("IF(I587=""4+"",
   COUNTUNIQUE(FILTER(A:A, I:I&gt;=4)),
   COUNTUNIQUE(FILTER(A:A, I:I=I587))
)"),19)</f>
        <v>19</v>
      </c>
      <c r="L587" s="36"/>
      <c r="M587" s="36"/>
      <c r="N587" s="36"/>
    </row>
    <row r="588" spans="1:14" ht="15" x14ac:dyDescent="0.25">
      <c r="A588" s="33" t="s">
        <v>92</v>
      </c>
      <c r="B588" s="34">
        <v>45793</v>
      </c>
      <c r="C588" s="35" t="str">
        <f t="shared" si="19"/>
        <v>05-2025</v>
      </c>
      <c r="D588" s="36" t="s">
        <v>35</v>
      </c>
      <c r="E588" s="36" t="s">
        <v>54</v>
      </c>
      <c r="F588" s="37">
        <v>298.33</v>
      </c>
      <c r="G588" s="36" t="s">
        <v>22</v>
      </c>
      <c r="H588" s="37">
        <f t="shared" si="1"/>
        <v>1</v>
      </c>
      <c r="I588" s="37">
        <f t="shared" si="20"/>
        <v>6</v>
      </c>
      <c r="J588" s="37" t="str">
        <f>IF(COUNTIF($A$2:A588,A588)=1,"New","Repeat")</f>
        <v>Repeat</v>
      </c>
      <c r="K588" s="37">
        <f ca="1">IFERROR(__xludf.DUMMYFUNCTION("IF(I588=""4+"",
   COUNTUNIQUE(FILTER(A:A, I:I&gt;=4)),
   COUNTUNIQUE(FILTER(A:A, I:I=I588))
)"),19)</f>
        <v>19</v>
      </c>
      <c r="L588" s="36"/>
      <c r="M588" s="36"/>
      <c r="N588" s="36"/>
    </row>
    <row r="589" spans="1:14" ht="15" x14ac:dyDescent="0.25">
      <c r="A589" s="33" t="s">
        <v>111</v>
      </c>
      <c r="B589" s="34">
        <v>46036</v>
      </c>
      <c r="C589" s="35" t="str">
        <f t="shared" si="19"/>
        <v>01-2026</v>
      </c>
      <c r="D589" s="36" t="s">
        <v>35</v>
      </c>
      <c r="E589" s="36" t="s">
        <v>58</v>
      </c>
      <c r="F589" s="37">
        <v>239.15</v>
      </c>
      <c r="G589" s="36" t="s">
        <v>16</v>
      </c>
      <c r="H589" s="37">
        <f t="shared" si="1"/>
        <v>1</v>
      </c>
      <c r="I589" s="37">
        <f t="shared" si="20"/>
        <v>2</v>
      </c>
      <c r="J589" s="37" t="str">
        <f>IF(COUNTIF($A$2:A589,A589)=1,"New","Repeat")</f>
        <v>Repeat</v>
      </c>
      <c r="K589" s="37">
        <f ca="1">IFERROR(__xludf.DUMMYFUNCTION("IF(I589=""4+"",
   COUNTUNIQUE(FILTER(A:A, I:I&gt;=4)),
   COUNTUNIQUE(FILTER(A:A, I:I=I589))
)"),37)</f>
        <v>37</v>
      </c>
      <c r="L589" s="36"/>
      <c r="M589" s="36"/>
      <c r="N589" s="36"/>
    </row>
    <row r="590" spans="1:14" ht="15" x14ac:dyDescent="0.25">
      <c r="A590" s="33" t="s">
        <v>150</v>
      </c>
      <c r="B590" s="34">
        <v>45906</v>
      </c>
      <c r="C590" s="35" t="str">
        <f t="shared" si="19"/>
        <v>09-2025</v>
      </c>
      <c r="D590" s="36" t="s">
        <v>51</v>
      </c>
      <c r="E590" s="36" t="s">
        <v>52</v>
      </c>
      <c r="F590" s="37">
        <v>47.86</v>
      </c>
      <c r="G590" s="36" t="s">
        <v>25</v>
      </c>
      <c r="H590" s="37">
        <f t="shared" si="1"/>
        <v>1</v>
      </c>
      <c r="I590" s="37">
        <f t="shared" si="20"/>
        <v>9</v>
      </c>
      <c r="J590" s="37" t="str">
        <f>IF(COUNTIF($A$2:A590,A590)=1,"New","Repeat")</f>
        <v>Repeat</v>
      </c>
      <c r="K590" s="37">
        <f ca="1">IFERROR(__xludf.DUMMYFUNCTION("IF(I590=""4+"",
   COUNTUNIQUE(FILTER(A:A, I:I&gt;=4)),
   COUNTUNIQUE(FILTER(A:A, I:I=I590))
)"),2)</f>
        <v>2</v>
      </c>
      <c r="L590" s="36"/>
      <c r="M590" s="36"/>
      <c r="N590" s="36"/>
    </row>
    <row r="591" spans="1:14" ht="15" x14ac:dyDescent="0.25">
      <c r="A591" s="33" t="s">
        <v>158</v>
      </c>
      <c r="B591" s="34">
        <v>45740</v>
      </c>
      <c r="C591" s="35" t="str">
        <f t="shared" si="19"/>
        <v>03-2025</v>
      </c>
      <c r="D591" s="36" t="s">
        <v>18</v>
      </c>
      <c r="E591" s="36" t="s">
        <v>24</v>
      </c>
      <c r="F591" s="37">
        <v>439.5</v>
      </c>
      <c r="G591" s="36" t="s">
        <v>22</v>
      </c>
      <c r="H591" s="37">
        <f t="shared" si="1"/>
        <v>1</v>
      </c>
      <c r="I591" s="37">
        <f t="shared" si="20"/>
        <v>3</v>
      </c>
      <c r="J591" s="37" t="str">
        <f>IF(COUNTIF($A$2:A591,A591)=1,"New","Repeat")</f>
        <v>Repeat</v>
      </c>
      <c r="K591" s="37">
        <f ca="1">IFERROR(__xludf.DUMMYFUNCTION("IF(I591=""4+"",
   COUNTUNIQUE(FILTER(A:A, I:I&gt;=4)),
   COUNTUNIQUE(FILTER(A:A, I:I=I591))
)"),42)</f>
        <v>42</v>
      </c>
      <c r="L591" s="36"/>
      <c r="M591" s="36"/>
      <c r="N591" s="36"/>
    </row>
    <row r="592" spans="1:14" ht="15" x14ac:dyDescent="0.25">
      <c r="A592" s="33" t="s">
        <v>40</v>
      </c>
      <c r="B592" s="39">
        <v>45991</v>
      </c>
      <c r="C592" s="35" t="str">
        <f t="shared" si="19"/>
        <v>11-2025</v>
      </c>
      <c r="D592" s="36" t="s">
        <v>35</v>
      </c>
      <c r="E592" s="36" t="s">
        <v>39</v>
      </c>
      <c r="F592" s="37">
        <v>384.52</v>
      </c>
      <c r="G592" s="36" t="s">
        <v>70</v>
      </c>
      <c r="H592" s="37">
        <f t="shared" si="1"/>
        <v>1</v>
      </c>
      <c r="I592" s="37">
        <f t="shared" si="20"/>
        <v>5</v>
      </c>
      <c r="J592" s="37" t="str">
        <f>IF(COUNTIF($A$2:A592,A592)=1,"New","Repeat")</f>
        <v>Repeat</v>
      </c>
      <c r="K592" s="37">
        <f ca="1">IFERROR(__xludf.DUMMYFUNCTION("IF(I592=""4+"",
   COUNTUNIQUE(FILTER(A:A, I:I&gt;=4)),
   COUNTUNIQUE(FILTER(A:A, I:I=I592))
)"),34)</f>
        <v>34</v>
      </c>
      <c r="L592" s="36"/>
      <c r="M592" s="36"/>
      <c r="N592" s="36"/>
    </row>
    <row r="593" spans="1:14" ht="15" x14ac:dyDescent="0.25">
      <c r="A593" s="33" t="s">
        <v>243</v>
      </c>
      <c r="B593" s="34">
        <v>45898</v>
      </c>
      <c r="C593" s="35" t="str">
        <f t="shared" si="19"/>
        <v>08-2025</v>
      </c>
      <c r="D593" s="36" t="s">
        <v>35</v>
      </c>
      <c r="E593" s="36" t="s">
        <v>36</v>
      </c>
      <c r="F593" s="37">
        <v>297.08999999999997</v>
      </c>
      <c r="G593" s="36" t="s">
        <v>70</v>
      </c>
      <c r="H593" s="37">
        <f t="shared" si="1"/>
        <v>0</v>
      </c>
      <c r="I593" s="37">
        <f t="shared" si="20"/>
        <v>1</v>
      </c>
      <c r="J593" s="37" t="str">
        <f>IF(COUNTIF($A$2:A593,A593)=1,"New","Repeat")</f>
        <v>New</v>
      </c>
      <c r="K593" s="37">
        <f ca="1">IFERROR(__xludf.DUMMYFUNCTION("IF(I593=""4+"",
   COUNTUNIQUE(FILTER(A:A, I:I&gt;=4)),
   COUNTUNIQUE(FILTER(A:A, I:I=I593))
)"),24)</f>
        <v>24</v>
      </c>
      <c r="L593" s="36"/>
      <c r="M593" s="36"/>
      <c r="N593" s="36"/>
    </row>
    <row r="594" spans="1:14" ht="15" x14ac:dyDescent="0.25">
      <c r="A594" s="33" t="s">
        <v>237</v>
      </c>
      <c r="B594" s="34">
        <v>45801</v>
      </c>
      <c r="C594" s="35" t="str">
        <f t="shared" si="19"/>
        <v>05-2025</v>
      </c>
      <c r="D594" s="36" t="s">
        <v>28</v>
      </c>
      <c r="E594" s="36" t="s">
        <v>45</v>
      </c>
      <c r="F594" s="37">
        <v>313.3</v>
      </c>
      <c r="G594" s="36" t="s">
        <v>70</v>
      </c>
      <c r="H594" s="37">
        <f t="shared" si="1"/>
        <v>1</v>
      </c>
      <c r="I594" s="37">
        <f t="shared" si="20"/>
        <v>2</v>
      </c>
      <c r="J594" s="37" t="str">
        <f>IF(COUNTIF($A$2:A594,A594)=1,"New","Repeat")</f>
        <v>Repeat</v>
      </c>
      <c r="K594" s="37">
        <f ca="1">IFERROR(__xludf.DUMMYFUNCTION("IF(I594=""4+"",
   COUNTUNIQUE(FILTER(A:A, I:I&gt;=4)),
   COUNTUNIQUE(FILTER(A:A, I:I=I594))
)"),37)</f>
        <v>37</v>
      </c>
      <c r="L594" s="36"/>
      <c r="M594" s="36"/>
      <c r="N594" s="36"/>
    </row>
    <row r="595" spans="1:14" ht="15" x14ac:dyDescent="0.25">
      <c r="A595" s="33" t="s">
        <v>129</v>
      </c>
      <c r="B595" s="39">
        <v>45977</v>
      </c>
      <c r="C595" s="35" t="str">
        <f t="shared" si="19"/>
        <v>11-2025</v>
      </c>
      <c r="D595" s="36" t="s">
        <v>35</v>
      </c>
      <c r="E595" s="36" t="s">
        <v>58</v>
      </c>
      <c r="F595" s="37">
        <v>242.85</v>
      </c>
      <c r="G595" s="36" t="s">
        <v>37</v>
      </c>
      <c r="H595" s="37">
        <f t="shared" si="1"/>
        <v>1</v>
      </c>
      <c r="I595" s="37">
        <f t="shared" si="20"/>
        <v>5</v>
      </c>
      <c r="J595" s="37" t="str">
        <f>IF(COUNTIF($A$2:A595,A595)=1,"New","Repeat")</f>
        <v>Repeat</v>
      </c>
      <c r="K595" s="37">
        <f ca="1">IFERROR(__xludf.DUMMYFUNCTION("IF(I595=""4+"",
   COUNTUNIQUE(FILTER(A:A, I:I&gt;=4)),
   COUNTUNIQUE(FILTER(A:A, I:I=I595))
)"),34)</f>
        <v>34</v>
      </c>
      <c r="L595" s="36"/>
      <c r="M595" s="36"/>
      <c r="N595" s="36"/>
    </row>
    <row r="596" spans="1:14" ht="15" x14ac:dyDescent="0.25">
      <c r="A596" s="33" t="s">
        <v>178</v>
      </c>
      <c r="B596" s="34">
        <v>45832</v>
      </c>
      <c r="C596" s="35" t="str">
        <f t="shared" si="19"/>
        <v>06-2025</v>
      </c>
      <c r="D596" s="36" t="s">
        <v>35</v>
      </c>
      <c r="E596" s="36" t="s">
        <v>54</v>
      </c>
      <c r="F596" s="37">
        <v>48.51</v>
      </c>
      <c r="G596" s="36" t="s">
        <v>37</v>
      </c>
      <c r="H596" s="37">
        <f t="shared" si="1"/>
        <v>1</v>
      </c>
      <c r="I596" s="37">
        <f t="shared" si="20"/>
        <v>3</v>
      </c>
      <c r="J596" s="37" t="str">
        <f>IF(COUNTIF($A$2:A596,A596)=1,"New","Repeat")</f>
        <v>Repeat</v>
      </c>
      <c r="K596" s="37">
        <f ca="1">IFERROR(__xludf.DUMMYFUNCTION("IF(I596=""4+"",
   COUNTUNIQUE(FILTER(A:A, I:I&gt;=4)),
   COUNTUNIQUE(FILTER(A:A, I:I=I596))
)"),42)</f>
        <v>42</v>
      </c>
      <c r="L596" s="36"/>
      <c r="M596" s="36"/>
      <c r="N596" s="36"/>
    </row>
    <row r="597" spans="1:14" ht="15" x14ac:dyDescent="0.25">
      <c r="A597" s="33" t="s">
        <v>73</v>
      </c>
      <c r="B597" s="34">
        <v>46028</v>
      </c>
      <c r="C597" s="35" t="str">
        <f t="shared" si="19"/>
        <v>01-2026</v>
      </c>
      <c r="D597" s="36" t="s">
        <v>18</v>
      </c>
      <c r="E597" s="36" t="s">
        <v>47</v>
      </c>
      <c r="F597" s="37">
        <v>199.15</v>
      </c>
      <c r="G597" s="36" t="s">
        <v>33</v>
      </c>
      <c r="H597" s="37">
        <f t="shared" si="1"/>
        <v>1</v>
      </c>
      <c r="I597" s="37">
        <f t="shared" si="20"/>
        <v>3</v>
      </c>
      <c r="J597" s="37" t="str">
        <f>IF(COUNTIF($A$2:A597,A597)=1,"New","Repeat")</f>
        <v>Repeat</v>
      </c>
      <c r="K597" s="37">
        <f ca="1">IFERROR(__xludf.DUMMYFUNCTION("IF(I597=""4+"",
   COUNTUNIQUE(FILTER(A:A, I:I&gt;=4)),
   COUNTUNIQUE(FILTER(A:A, I:I=I597))
)"),42)</f>
        <v>42</v>
      </c>
      <c r="L597" s="36"/>
      <c r="M597" s="36"/>
      <c r="N597" s="36"/>
    </row>
    <row r="598" spans="1:14" ht="15" x14ac:dyDescent="0.25">
      <c r="A598" s="33" t="s">
        <v>64</v>
      </c>
      <c r="B598" s="34">
        <v>45822</v>
      </c>
      <c r="C598" s="35" t="str">
        <f t="shared" si="19"/>
        <v>06-2025</v>
      </c>
      <c r="D598" s="36" t="s">
        <v>28</v>
      </c>
      <c r="E598" s="36" t="s">
        <v>45</v>
      </c>
      <c r="F598" s="37">
        <v>361.84</v>
      </c>
      <c r="G598" s="36" t="s">
        <v>70</v>
      </c>
      <c r="H598" s="37">
        <f t="shared" si="1"/>
        <v>1</v>
      </c>
      <c r="I598" s="37">
        <f t="shared" si="20"/>
        <v>5</v>
      </c>
      <c r="J598" s="37" t="str">
        <f>IF(COUNTIF($A$2:A598,A598)=1,"New","Repeat")</f>
        <v>Repeat</v>
      </c>
      <c r="K598" s="37">
        <f ca="1">IFERROR(__xludf.DUMMYFUNCTION("IF(I598=""4+"",
   COUNTUNIQUE(FILTER(A:A, I:I&gt;=4)),
   COUNTUNIQUE(FILTER(A:A, I:I=I598))
)"),34)</f>
        <v>34</v>
      </c>
      <c r="L598" s="36"/>
      <c r="M598" s="36"/>
      <c r="N598" s="36"/>
    </row>
    <row r="599" spans="1:14" ht="15" x14ac:dyDescent="0.25">
      <c r="A599" s="33" t="s">
        <v>82</v>
      </c>
      <c r="B599" s="34">
        <v>45899</v>
      </c>
      <c r="C599" s="35" t="str">
        <f t="shared" si="19"/>
        <v>08-2025</v>
      </c>
      <c r="D599" s="36" t="s">
        <v>35</v>
      </c>
      <c r="E599" s="36" t="s">
        <v>39</v>
      </c>
      <c r="F599" s="37">
        <v>394.33</v>
      </c>
      <c r="G599" s="36" t="s">
        <v>37</v>
      </c>
      <c r="H599" s="37">
        <f t="shared" si="1"/>
        <v>1</v>
      </c>
      <c r="I599" s="37">
        <f t="shared" si="20"/>
        <v>5</v>
      </c>
      <c r="J599" s="37" t="str">
        <f>IF(COUNTIF($A$2:A599,A599)=1,"New","Repeat")</f>
        <v>Repeat</v>
      </c>
      <c r="K599" s="37">
        <f ca="1">IFERROR(__xludf.DUMMYFUNCTION("IF(I599=""4+"",
   COUNTUNIQUE(FILTER(A:A, I:I&gt;=4)),
   COUNTUNIQUE(FILTER(A:A, I:I=I599))
)"),34)</f>
        <v>34</v>
      </c>
      <c r="L599" s="36"/>
      <c r="M599" s="36"/>
      <c r="N599" s="36"/>
    </row>
    <row r="600" spans="1:14" ht="15" x14ac:dyDescent="0.25">
      <c r="A600" s="33" t="s">
        <v>169</v>
      </c>
      <c r="B600" s="39">
        <v>46007</v>
      </c>
      <c r="C600" s="35" t="str">
        <f t="shared" si="19"/>
        <v>12-2025</v>
      </c>
      <c r="D600" s="36" t="s">
        <v>14</v>
      </c>
      <c r="E600" s="36" t="s">
        <v>41</v>
      </c>
      <c r="F600" s="37">
        <v>110.75</v>
      </c>
      <c r="G600" s="36" t="s">
        <v>70</v>
      </c>
      <c r="H600" s="37">
        <f t="shared" si="1"/>
        <v>1</v>
      </c>
      <c r="I600" s="37">
        <f t="shared" si="20"/>
        <v>4</v>
      </c>
      <c r="J600" s="37" t="str">
        <f>IF(COUNTIF($A$2:A600,A600)=1,"New","Repeat")</f>
        <v>Repeat</v>
      </c>
      <c r="K600" s="37">
        <f ca="1">IFERROR(__xludf.DUMMYFUNCTION("IF(I600=""4+"",
   COUNTUNIQUE(FILTER(A:A, I:I&gt;=4)),
   COUNTUNIQUE(FILTER(A:A, I:I=I600))
)"),32)</f>
        <v>32</v>
      </c>
      <c r="L600" s="36"/>
      <c r="M600" s="36"/>
      <c r="N600" s="36"/>
    </row>
    <row r="601" spans="1:14" ht="15" x14ac:dyDescent="0.25">
      <c r="A601" s="33" t="s">
        <v>117</v>
      </c>
      <c r="B601" s="34">
        <v>45879</v>
      </c>
      <c r="C601" s="35" t="str">
        <f t="shared" si="19"/>
        <v>08-2025</v>
      </c>
      <c r="D601" s="36" t="s">
        <v>14</v>
      </c>
      <c r="E601" s="36" t="s">
        <v>32</v>
      </c>
      <c r="F601" s="37">
        <v>242.09</v>
      </c>
      <c r="G601" s="36" t="s">
        <v>22</v>
      </c>
      <c r="H601" s="37">
        <f t="shared" si="1"/>
        <v>1</v>
      </c>
      <c r="I601" s="37">
        <f t="shared" si="20"/>
        <v>3</v>
      </c>
      <c r="J601" s="37" t="str">
        <f>IF(COUNTIF($A$2:A601,A601)=1,"New","Repeat")</f>
        <v>Repeat</v>
      </c>
      <c r="K601" s="37">
        <f ca="1">IFERROR(__xludf.DUMMYFUNCTION("IF(I601=""4+"",
   COUNTUNIQUE(FILTER(A:A, I:I&gt;=4)),
   COUNTUNIQUE(FILTER(A:A, I:I=I601))
)"),42)</f>
        <v>42</v>
      </c>
      <c r="L601" s="36"/>
      <c r="M601" s="36"/>
      <c r="N601" s="36"/>
    </row>
    <row r="602" spans="1:14" ht="15" x14ac:dyDescent="0.25">
      <c r="A602" s="33" t="s">
        <v>113</v>
      </c>
      <c r="B602" s="39">
        <v>45982</v>
      </c>
      <c r="C602" s="35" t="str">
        <f t="shared" si="19"/>
        <v>11-2025</v>
      </c>
      <c r="D602" s="36" t="s">
        <v>35</v>
      </c>
      <c r="E602" s="36" t="s">
        <v>39</v>
      </c>
      <c r="F602" s="37">
        <v>412.34</v>
      </c>
      <c r="G602" s="36" t="s">
        <v>16</v>
      </c>
      <c r="H602" s="37">
        <f t="shared" si="1"/>
        <v>1</v>
      </c>
      <c r="I602" s="37">
        <f t="shared" si="20"/>
        <v>3</v>
      </c>
      <c r="J602" s="37" t="str">
        <f>IF(COUNTIF($A$2:A602,A602)=1,"New","Repeat")</f>
        <v>Repeat</v>
      </c>
      <c r="K602" s="37">
        <f ca="1">IFERROR(__xludf.DUMMYFUNCTION("IF(I602=""4+"",
   COUNTUNIQUE(FILTER(A:A, I:I&gt;=4)),
   COUNTUNIQUE(FILTER(A:A, I:I=I602))
)"),42)</f>
        <v>42</v>
      </c>
      <c r="L602" s="36"/>
      <c r="M602" s="36"/>
      <c r="N602" s="36"/>
    </row>
    <row r="603" spans="1:14" ht="15" x14ac:dyDescent="0.25">
      <c r="A603" s="33" t="s">
        <v>217</v>
      </c>
      <c r="B603" s="39">
        <v>45944</v>
      </c>
      <c r="C603" s="35" t="str">
        <f t="shared" si="19"/>
        <v>10-2025</v>
      </c>
      <c r="D603" s="36" t="s">
        <v>28</v>
      </c>
      <c r="E603" s="36" t="s">
        <v>87</v>
      </c>
      <c r="F603" s="37">
        <v>86.35</v>
      </c>
      <c r="G603" s="36" t="s">
        <v>22</v>
      </c>
      <c r="H603" s="37">
        <f t="shared" si="1"/>
        <v>1</v>
      </c>
      <c r="I603" s="37">
        <f t="shared" si="20"/>
        <v>2</v>
      </c>
      <c r="J603" s="37" t="str">
        <f>IF(COUNTIF($A$2:A603,A603)=1,"New","Repeat")</f>
        <v>Repeat</v>
      </c>
      <c r="K603" s="37">
        <f ca="1">IFERROR(__xludf.DUMMYFUNCTION("IF(I603=""4+"",
   COUNTUNIQUE(FILTER(A:A, I:I&gt;=4)),
   COUNTUNIQUE(FILTER(A:A, I:I=I603))
)"),37)</f>
        <v>37</v>
      </c>
      <c r="L603" s="36"/>
      <c r="M603" s="36"/>
      <c r="N603" s="36"/>
    </row>
    <row r="604" spans="1:14" ht="15" x14ac:dyDescent="0.25">
      <c r="A604" s="33" t="s">
        <v>134</v>
      </c>
      <c r="B604" s="34">
        <v>45852</v>
      </c>
      <c r="C604" s="35" t="str">
        <f t="shared" si="19"/>
        <v>07-2025</v>
      </c>
      <c r="D604" s="36" t="s">
        <v>28</v>
      </c>
      <c r="E604" s="36" t="s">
        <v>45</v>
      </c>
      <c r="F604" s="37">
        <v>450.74</v>
      </c>
      <c r="G604" s="36" t="s">
        <v>37</v>
      </c>
      <c r="H604" s="37">
        <f t="shared" si="1"/>
        <v>1</v>
      </c>
      <c r="I604" s="37">
        <f t="shared" si="20"/>
        <v>4</v>
      </c>
      <c r="J604" s="37" t="str">
        <f>IF(COUNTIF($A$2:A604,A604)=1,"New","Repeat")</f>
        <v>Repeat</v>
      </c>
      <c r="K604" s="37">
        <f ca="1">IFERROR(__xludf.DUMMYFUNCTION("IF(I604=""4+"",
   COUNTUNIQUE(FILTER(A:A, I:I&gt;=4)),
   COUNTUNIQUE(FILTER(A:A, I:I=I604))
)"),32)</f>
        <v>32</v>
      </c>
      <c r="L604" s="36"/>
      <c r="M604" s="36"/>
      <c r="N604" s="36"/>
    </row>
    <row r="605" spans="1:14" ht="15" x14ac:dyDescent="0.25">
      <c r="A605" s="33" t="s">
        <v>200</v>
      </c>
      <c r="B605" s="34">
        <v>45890</v>
      </c>
      <c r="C605" s="35" t="str">
        <f t="shared" si="19"/>
        <v>08-2025</v>
      </c>
      <c r="D605" s="36" t="s">
        <v>18</v>
      </c>
      <c r="E605" s="36" t="s">
        <v>24</v>
      </c>
      <c r="F605" s="37">
        <v>298.17</v>
      </c>
      <c r="G605" s="36" t="s">
        <v>70</v>
      </c>
      <c r="H605" s="37">
        <f t="shared" si="1"/>
        <v>1</v>
      </c>
      <c r="I605" s="37">
        <f t="shared" si="20"/>
        <v>6</v>
      </c>
      <c r="J605" s="37" t="str">
        <f>IF(COUNTIF($A$2:A605,A605)=1,"New","Repeat")</f>
        <v>Repeat</v>
      </c>
      <c r="K605" s="37">
        <f ca="1">IFERROR(__xludf.DUMMYFUNCTION("IF(I605=""4+"",
   COUNTUNIQUE(FILTER(A:A, I:I&gt;=4)),
   COUNTUNIQUE(FILTER(A:A, I:I=I605))
)"),19)</f>
        <v>19</v>
      </c>
      <c r="L605" s="36"/>
      <c r="M605" s="36"/>
      <c r="N605" s="36"/>
    </row>
    <row r="606" spans="1:14" ht="15" x14ac:dyDescent="0.25">
      <c r="A606" s="33" t="s">
        <v>239</v>
      </c>
      <c r="B606" s="39">
        <v>46009</v>
      </c>
      <c r="C606" s="35" t="str">
        <f t="shared" si="19"/>
        <v>12-2025</v>
      </c>
      <c r="D606" s="36" t="s">
        <v>14</v>
      </c>
      <c r="E606" s="36" t="s">
        <v>96</v>
      </c>
      <c r="F606" s="37">
        <v>265.3</v>
      </c>
      <c r="G606" s="36" t="s">
        <v>70</v>
      </c>
      <c r="H606" s="37">
        <f t="shared" si="1"/>
        <v>1</v>
      </c>
      <c r="I606" s="37">
        <f t="shared" si="20"/>
        <v>3</v>
      </c>
      <c r="J606" s="37" t="str">
        <f>IF(COUNTIF($A$2:A606,A606)=1,"New","Repeat")</f>
        <v>Repeat</v>
      </c>
      <c r="K606" s="37">
        <f ca="1">IFERROR(__xludf.DUMMYFUNCTION("IF(I606=""4+"",
   COUNTUNIQUE(FILTER(A:A, I:I&gt;=4)),
   COUNTUNIQUE(FILTER(A:A, I:I=I606))
)"),42)</f>
        <v>42</v>
      </c>
      <c r="L606" s="36"/>
      <c r="M606" s="36"/>
      <c r="N606" s="36"/>
    </row>
    <row r="607" spans="1:14" ht="15" x14ac:dyDescent="0.25">
      <c r="A607" s="33" t="s">
        <v>161</v>
      </c>
      <c r="B607" s="34">
        <v>45785</v>
      </c>
      <c r="C607" s="35" t="str">
        <f t="shared" si="19"/>
        <v>05-2025</v>
      </c>
      <c r="D607" s="36" t="s">
        <v>18</v>
      </c>
      <c r="E607" s="36" t="s">
        <v>19</v>
      </c>
      <c r="F607" s="37">
        <v>385.86</v>
      </c>
      <c r="G607" s="36" t="s">
        <v>30</v>
      </c>
      <c r="H607" s="37">
        <f t="shared" si="1"/>
        <v>1</v>
      </c>
      <c r="I607" s="37">
        <f t="shared" si="20"/>
        <v>6</v>
      </c>
      <c r="J607" s="37" t="str">
        <f>IF(COUNTIF($A$2:A607,A607)=1,"New","Repeat")</f>
        <v>Repeat</v>
      </c>
      <c r="K607" s="37">
        <f ca="1">IFERROR(__xludf.DUMMYFUNCTION("IF(I607=""4+"",
   COUNTUNIQUE(FILTER(A:A, I:I&gt;=4)),
   COUNTUNIQUE(FILTER(A:A, I:I=I607))
)"),19)</f>
        <v>19</v>
      </c>
      <c r="L607" s="36"/>
      <c r="M607" s="36"/>
      <c r="N607" s="36"/>
    </row>
    <row r="608" spans="1:14" ht="15" x14ac:dyDescent="0.25">
      <c r="A608" s="33" t="s">
        <v>71</v>
      </c>
      <c r="B608" s="34">
        <v>45994</v>
      </c>
      <c r="C608" s="35" t="str">
        <f t="shared" si="19"/>
        <v>12-2025</v>
      </c>
      <c r="D608" s="36" t="s">
        <v>14</v>
      </c>
      <c r="E608" s="36" t="s">
        <v>15</v>
      </c>
      <c r="F608" s="37">
        <v>349.05</v>
      </c>
      <c r="G608" s="36" t="s">
        <v>70</v>
      </c>
      <c r="H608" s="37">
        <f t="shared" si="1"/>
        <v>1</v>
      </c>
      <c r="I608" s="37">
        <f t="shared" si="20"/>
        <v>7</v>
      </c>
      <c r="J608" s="37" t="str">
        <f>IF(COUNTIF($A$2:A608,A608)=1,"New","Repeat")</f>
        <v>Repeat</v>
      </c>
      <c r="K608" s="37">
        <f ca="1">IFERROR(__xludf.DUMMYFUNCTION("IF(I608=""4+"",
   COUNTUNIQUE(FILTER(A:A, I:I&gt;=4)),
   COUNTUNIQUE(FILTER(A:A, I:I=I608))
)"),4)</f>
        <v>4</v>
      </c>
      <c r="L608" s="36"/>
      <c r="M608" s="36"/>
      <c r="N608" s="36"/>
    </row>
    <row r="609" spans="1:14" ht="15" x14ac:dyDescent="0.25">
      <c r="A609" s="33" t="s">
        <v>44</v>
      </c>
      <c r="B609" s="34">
        <v>45918</v>
      </c>
      <c r="C609" s="35" t="str">
        <f t="shared" si="19"/>
        <v>09-2025</v>
      </c>
      <c r="D609" s="36" t="s">
        <v>14</v>
      </c>
      <c r="E609" s="36" t="s">
        <v>59</v>
      </c>
      <c r="F609" s="37">
        <v>203.76</v>
      </c>
      <c r="G609" s="36" t="s">
        <v>70</v>
      </c>
      <c r="H609" s="37">
        <f t="shared" si="1"/>
        <v>1</v>
      </c>
      <c r="I609" s="37">
        <f t="shared" si="20"/>
        <v>5</v>
      </c>
      <c r="J609" s="37" t="str">
        <f>IF(COUNTIF($A$2:A609,A609)=1,"New","Repeat")</f>
        <v>Repeat</v>
      </c>
      <c r="K609" s="37">
        <f ca="1">IFERROR(__xludf.DUMMYFUNCTION("IF(I609=""4+"",
   COUNTUNIQUE(FILTER(A:A, I:I&gt;=4)),
   COUNTUNIQUE(FILTER(A:A, I:I=I609))
)"),34)</f>
        <v>34</v>
      </c>
      <c r="L609" s="36"/>
      <c r="M609" s="36"/>
      <c r="N609" s="36"/>
    </row>
    <row r="610" spans="1:14" ht="15" x14ac:dyDescent="0.25">
      <c r="A610" s="33" t="s">
        <v>20</v>
      </c>
      <c r="B610" s="39">
        <v>45985</v>
      </c>
      <c r="C610" s="35" t="str">
        <f t="shared" si="19"/>
        <v>11-2025</v>
      </c>
      <c r="D610" s="36" t="s">
        <v>51</v>
      </c>
      <c r="E610" s="36" t="s">
        <v>145</v>
      </c>
      <c r="F610" s="37">
        <v>251.5</v>
      </c>
      <c r="G610" s="36" t="s">
        <v>70</v>
      </c>
      <c r="H610" s="37">
        <f t="shared" si="1"/>
        <v>1</v>
      </c>
      <c r="I610" s="37">
        <f t="shared" si="20"/>
        <v>5</v>
      </c>
      <c r="J610" s="37" t="str">
        <f>IF(COUNTIF($A$2:A610,A610)=1,"New","Repeat")</f>
        <v>Repeat</v>
      </c>
      <c r="K610" s="37">
        <f ca="1">IFERROR(__xludf.DUMMYFUNCTION("IF(I610=""4+"",
   COUNTUNIQUE(FILTER(A:A, I:I&gt;=4)),
   COUNTUNIQUE(FILTER(A:A, I:I=I610))
)"),34)</f>
        <v>34</v>
      </c>
      <c r="L610" s="36"/>
      <c r="M610" s="36"/>
      <c r="N610" s="36"/>
    </row>
    <row r="611" spans="1:14" ht="15" x14ac:dyDescent="0.25">
      <c r="A611" s="33" t="s">
        <v>64</v>
      </c>
      <c r="B611" s="34">
        <v>45803</v>
      </c>
      <c r="C611" s="35" t="str">
        <f t="shared" si="19"/>
        <v>05-2025</v>
      </c>
      <c r="D611" s="36" t="s">
        <v>28</v>
      </c>
      <c r="E611" s="36" t="s">
        <v>43</v>
      </c>
      <c r="F611" s="37">
        <v>191.68</v>
      </c>
      <c r="G611" s="36" t="s">
        <v>25</v>
      </c>
      <c r="H611" s="37">
        <f t="shared" si="1"/>
        <v>1</v>
      </c>
      <c r="I611" s="37">
        <f t="shared" si="20"/>
        <v>5</v>
      </c>
      <c r="J611" s="37" t="str">
        <f>IF(COUNTIF($A$2:A611,A611)=1,"New","Repeat")</f>
        <v>Repeat</v>
      </c>
      <c r="K611" s="37">
        <f ca="1">IFERROR(__xludf.DUMMYFUNCTION("IF(I611=""4+"",
   COUNTUNIQUE(FILTER(A:A, I:I&gt;=4)),
   COUNTUNIQUE(FILTER(A:A, I:I=I611))
)"),34)</f>
        <v>34</v>
      </c>
      <c r="L611" s="36"/>
      <c r="M611" s="36"/>
      <c r="N611" s="36"/>
    </row>
    <row r="612" spans="1:14" ht="15" x14ac:dyDescent="0.25">
      <c r="A612" s="33" t="s">
        <v>220</v>
      </c>
      <c r="B612" s="34">
        <v>45882</v>
      </c>
      <c r="C612" s="35" t="str">
        <f t="shared" si="19"/>
        <v>08-2025</v>
      </c>
      <c r="D612" s="36" t="s">
        <v>35</v>
      </c>
      <c r="E612" s="36" t="s">
        <v>54</v>
      </c>
      <c r="F612" s="37">
        <v>234.57</v>
      </c>
      <c r="G612" s="36" t="s">
        <v>30</v>
      </c>
      <c r="H612" s="37">
        <f t="shared" si="1"/>
        <v>1</v>
      </c>
      <c r="I612" s="37">
        <f t="shared" si="20"/>
        <v>3</v>
      </c>
      <c r="J612" s="37" t="str">
        <f>IF(COUNTIF($A$2:A612,A612)=1,"New","Repeat")</f>
        <v>Repeat</v>
      </c>
      <c r="K612" s="37">
        <f ca="1">IFERROR(__xludf.DUMMYFUNCTION("IF(I612=""4+"",
   COUNTUNIQUE(FILTER(A:A, I:I&gt;=4)),
   COUNTUNIQUE(FILTER(A:A, I:I=I612))
)"),42)</f>
        <v>42</v>
      </c>
      <c r="L612" s="36"/>
      <c r="M612" s="36"/>
      <c r="N612" s="36"/>
    </row>
    <row r="613" spans="1:14" ht="15" x14ac:dyDescent="0.25">
      <c r="A613" s="33" t="s">
        <v>181</v>
      </c>
      <c r="B613" s="34">
        <v>45962</v>
      </c>
      <c r="C613" s="35" t="str">
        <f t="shared" si="19"/>
        <v>11-2025</v>
      </c>
      <c r="D613" s="36" t="s">
        <v>51</v>
      </c>
      <c r="E613" s="36" t="s">
        <v>145</v>
      </c>
      <c r="F613" s="37">
        <v>202.75</v>
      </c>
      <c r="G613" s="36" t="s">
        <v>16</v>
      </c>
      <c r="H613" s="37">
        <f t="shared" si="1"/>
        <v>1</v>
      </c>
      <c r="I613" s="37">
        <f t="shared" si="20"/>
        <v>5</v>
      </c>
      <c r="J613" s="37" t="str">
        <f>IF(COUNTIF($A$2:A613,A613)=1,"New","Repeat")</f>
        <v>Repeat</v>
      </c>
      <c r="K613" s="37">
        <f ca="1">IFERROR(__xludf.DUMMYFUNCTION("IF(I613=""4+"",
   COUNTUNIQUE(FILTER(A:A, I:I&gt;=4)),
   COUNTUNIQUE(FILTER(A:A, I:I=I613))
)"),34)</f>
        <v>34</v>
      </c>
      <c r="L613" s="36"/>
      <c r="M613" s="36"/>
      <c r="N613" s="36"/>
    </row>
    <row r="614" spans="1:14" ht="15" x14ac:dyDescent="0.25">
      <c r="A614" s="33" t="s">
        <v>157</v>
      </c>
      <c r="B614" s="34">
        <v>45858</v>
      </c>
      <c r="C614" s="35" t="str">
        <f t="shared" si="19"/>
        <v>07-2025</v>
      </c>
      <c r="D614" s="36" t="s">
        <v>35</v>
      </c>
      <c r="E614" s="36" t="s">
        <v>54</v>
      </c>
      <c r="F614" s="37">
        <v>51.95</v>
      </c>
      <c r="G614" s="36" t="s">
        <v>30</v>
      </c>
      <c r="H614" s="37">
        <f t="shared" si="1"/>
        <v>1</v>
      </c>
      <c r="I614" s="37">
        <f t="shared" si="20"/>
        <v>5</v>
      </c>
      <c r="J614" s="37" t="str">
        <f>IF(COUNTIF($A$2:A614,A614)=1,"New","Repeat")</f>
        <v>Repeat</v>
      </c>
      <c r="K614" s="37">
        <f ca="1">IFERROR(__xludf.DUMMYFUNCTION("IF(I614=""4+"",
   COUNTUNIQUE(FILTER(A:A, I:I&gt;=4)),
   COUNTUNIQUE(FILTER(A:A, I:I=I614))
)"),34)</f>
        <v>34</v>
      </c>
      <c r="L614" s="36"/>
      <c r="M614" s="36"/>
      <c r="N614" s="36"/>
    </row>
    <row r="615" spans="1:14" ht="15" x14ac:dyDescent="0.25">
      <c r="A615" s="33" t="s">
        <v>209</v>
      </c>
      <c r="B615" s="34">
        <v>45737</v>
      </c>
      <c r="C615" s="35" t="str">
        <f t="shared" si="19"/>
        <v>03-2025</v>
      </c>
      <c r="D615" s="36" t="s">
        <v>18</v>
      </c>
      <c r="E615" s="36" t="s">
        <v>65</v>
      </c>
      <c r="F615" s="37">
        <v>38.28</v>
      </c>
      <c r="G615" s="36" t="s">
        <v>22</v>
      </c>
      <c r="H615" s="37">
        <f t="shared" si="1"/>
        <v>1</v>
      </c>
      <c r="I615" s="37">
        <f t="shared" si="20"/>
        <v>2</v>
      </c>
      <c r="J615" s="37" t="str">
        <f>IF(COUNTIF($A$2:A615,A615)=1,"New","Repeat")</f>
        <v>Repeat</v>
      </c>
      <c r="K615" s="37">
        <f ca="1">IFERROR(__xludf.DUMMYFUNCTION("IF(I615=""4+"",
   COUNTUNIQUE(FILTER(A:A, I:I&gt;=4)),
   COUNTUNIQUE(FILTER(A:A, I:I=I615))
)"),37)</f>
        <v>37</v>
      </c>
      <c r="L615" s="36"/>
      <c r="M615" s="36"/>
      <c r="N615" s="36"/>
    </row>
    <row r="616" spans="1:14" ht="15" x14ac:dyDescent="0.25">
      <c r="A616" s="33" t="s">
        <v>164</v>
      </c>
      <c r="B616" s="34">
        <v>46025</v>
      </c>
      <c r="C616" s="35" t="str">
        <f t="shared" si="19"/>
        <v>01-2026</v>
      </c>
      <c r="D616" s="36" t="s">
        <v>18</v>
      </c>
      <c r="E616" s="36" t="s">
        <v>47</v>
      </c>
      <c r="F616" s="37">
        <v>467.36</v>
      </c>
      <c r="G616" s="36" t="s">
        <v>33</v>
      </c>
      <c r="H616" s="37">
        <f t="shared" si="1"/>
        <v>1</v>
      </c>
      <c r="I616" s="37">
        <f t="shared" si="20"/>
        <v>3</v>
      </c>
      <c r="J616" s="37" t="str">
        <f>IF(COUNTIF($A$2:A616,A616)=1,"New","Repeat")</f>
        <v>Repeat</v>
      </c>
      <c r="K616" s="37">
        <f ca="1">IFERROR(__xludf.DUMMYFUNCTION("IF(I616=""4+"",
   COUNTUNIQUE(FILTER(A:A, I:I&gt;=4)),
   COUNTUNIQUE(FILTER(A:A, I:I=I616))
)"),42)</f>
        <v>42</v>
      </c>
      <c r="L616" s="36"/>
      <c r="M616" s="36"/>
      <c r="N616" s="36"/>
    </row>
    <row r="617" spans="1:14" ht="15" x14ac:dyDescent="0.25">
      <c r="A617" s="33" t="s">
        <v>129</v>
      </c>
      <c r="B617" s="34">
        <v>46032</v>
      </c>
      <c r="C617" s="35" t="str">
        <f t="shared" si="19"/>
        <v>01-2026</v>
      </c>
      <c r="D617" s="36" t="s">
        <v>35</v>
      </c>
      <c r="E617" s="36" t="s">
        <v>39</v>
      </c>
      <c r="F617" s="37">
        <v>440.66</v>
      </c>
      <c r="G617" s="36" t="s">
        <v>37</v>
      </c>
      <c r="H617" s="37">
        <f t="shared" si="1"/>
        <v>1</v>
      </c>
      <c r="I617" s="37">
        <f t="shared" si="20"/>
        <v>5</v>
      </c>
      <c r="J617" s="37" t="str">
        <f>IF(COUNTIF($A$2:A617,A617)=1,"New","Repeat")</f>
        <v>Repeat</v>
      </c>
      <c r="K617" s="37">
        <f ca="1">IFERROR(__xludf.DUMMYFUNCTION("IF(I617=""4+"",
   COUNTUNIQUE(FILTER(A:A, I:I&gt;=4)),
   COUNTUNIQUE(FILTER(A:A, I:I=I617))
)"),34)</f>
        <v>34</v>
      </c>
      <c r="L617" s="36"/>
      <c r="M617" s="36"/>
      <c r="N617" s="36"/>
    </row>
    <row r="618" spans="1:14" ht="15" x14ac:dyDescent="0.25">
      <c r="A618" s="33" t="s">
        <v>105</v>
      </c>
      <c r="B618" s="34">
        <v>46052</v>
      </c>
      <c r="C618" s="35" t="str">
        <f t="shared" si="19"/>
        <v>01-2026</v>
      </c>
      <c r="D618" s="36" t="s">
        <v>18</v>
      </c>
      <c r="E618" s="36" t="s">
        <v>24</v>
      </c>
      <c r="F618" s="37">
        <v>95.84</v>
      </c>
      <c r="G618" s="36" t="s">
        <v>30</v>
      </c>
      <c r="H618" s="37">
        <f t="shared" si="1"/>
        <v>1</v>
      </c>
      <c r="I618" s="37">
        <f t="shared" si="20"/>
        <v>5</v>
      </c>
      <c r="J618" s="37" t="str">
        <f>IF(COUNTIF($A$2:A618,A618)=1,"New","Repeat")</f>
        <v>Repeat</v>
      </c>
      <c r="K618" s="37">
        <f ca="1">IFERROR(__xludf.DUMMYFUNCTION("IF(I618=""4+"",
   COUNTUNIQUE(FILTER(A:A, I:I&gt;=4)),
   COUNTUNIQUE(FILTER(A:A, I:I=I618))
)"),34)</f>
        <v>34</v>
      </c>
      <c r="L618" s="36"/>
      <c r="M618" s="36"/>
      <c r="N618" s="36"/>
    </row>
    <row r="619" spans="1:14" ht="15" x14ac:dyDescent="0.25">
      <c r="A619" s="33" t="s">
        <v>134</v>
      </c>
      <c r="B619" s="39">
        <v>46015</v>
      </c>
      <c r="C619" s="35" t="str">
        <f t="shared" si="19"/>
        <v>12-2025</v>
      </c>
      <c r="D619" s="36" t="s">
        <v>18</v>
      </c>
      <c r="E619" s="36" t="s">
        <v>19</v>
      </c>
      <c r="F619" s="37">
        <v>231.69</v>
      </c>
      <c r="G619" s="36" t="s">
        <v>16</v>
      </c>
      <c r="H619" s="37">
        <f t="shared" si="1"/>
        <v>1</v>
      </c>
      <c r="I619" s="37">
        <f t="shared" si="20"/>
        <v>4</v>
      </c>
      <c r="J619" s="37" t="str">
        <f>IF(COUNTIF($A$2:A619,A619)=1,"New","Repeat")</f>
        <v>Repeat</v>
      </c>
      <c r="K619" s="37">
        <f ca="1">IFERROR(__xludf.DUMMYFUNCTION("IF(I619=""4+"",
   COUNTUNIQUE(FILTER(A:A, I:I&gt;=4)),
   COUNTUNIQUE(FILTER(A:A, I:I=I619))
)"),32)</f>
        <v>32</v>
      </c>
      <c r="L619" s="36"/>
      <c r="M619" s="36"/>
      <c r="N619" s="36"/>
    </row>
    <row r="620" spans="1:14" ht="15" x14ac:dyDescent="0.25">
      <c r="A620" s="33" t="s">
        <v>109</v>
      </c>
      <c r="B620" s="34">
        <v>45823</v>
      </c>
      <c r="C620" s="35" t="str">
        <f t="shared" si="19"/>
        <v>06-2025</v>
      </c>
      <c r="D620" s="36" t="s">
        <v>35</v>
      </c>
      <c r="E620" s="36" t="s">
        <v>58</v>
      </c>
      <c r="F620" s="37">
        <v>20.92</v>
      </c>
      <c r="G620" s="36" t="s">
        <v>30</v>
      </c>
      <c r="H620" s="37">
        <f t="shared" si="1"/>
        <v>1</v>
      </c>
      <c r="I620" s="37">
        <f t="shared" si="20"/>
        <v>2</v>
      </c>
      <c r="J620" s="37" t="str">
        <f>IF(COUNTIF($A$2:A620,A620)=1,"New","Repeat")</f>
        <v>Repeat</v>
      </c>
      <c r="K620" s="37">
        <f ca="1">IFERROR(__xludf.DUMMYFUNCTION("IF(I620=""4+"",
   COUNTUNIQUE(FILTER(A:A, I:I&gt;=4)),
   COUNTUNIQUE(FILTER(A:A, I:I=I620))
)"),37)</f>
        <v>37</v>
      </c>
      <c r="L620" s="36"/>
      <c r="M620" s="36"/>
      <c r="N620" s="36"/>
    </row>
    <row r="621" spans="1:14" ht="15" x14ac:dyDescent="0.25">
      <c r="A621" s="33" t="s">
        <v>151</v>
      </c>
      <c r="B621" s="34">
        <v>45728</v>
      </c>
      <c r="C621" s="35" t="str">
        <f t="shared" si="19"/>
        <v>03-2025</v>
      </c>
      <c r="D621" s="36" t="s">
        <v>35</v>
      </c>
      <c r="E621" s="36" t="s">
        <v>93</v>
      </c>
      <c r="F621" s="37">
        <v>342.08</v>
      </c>
      <c r="G621" s="36" t="s">
        <v>16</v>
      </c>
      <c r="H621" s="37">
        <f t="shared" si="1"/>
        <v>1</v>
      </c>
      <c r="I621" s="37">
        <f t="shared" si="20"/>
        <v>5</v>
      </c>
      <c r="J621" s="37" t="str">
        <f>IF(COUNTIF($A$2:A621,A621)=1,"New","Repeat")</f>
        <v>Repeat</v>
      </c>
      <c r="K621" s="37">
        <f ca="1">IFERROR(__xludf.DUMMYFUNCTION("IF(I621=""4+"",
   COUNTUNIQUE(FILTER(A:A, I:I&gt;=4)),
   COUNTUNIQUE(FILTER(A:A, I:I=I621))
)"),34)</f>
        <v>34</v>
      </c>
      <c r="L621" s="36"/>
      <c r="M621" s="36"/>
      <c r="N621" s="36"/>
    </row>
    <row r="622" spans="1:14" ht="15" x14ac:dyDescent="0.25">
      <c r="A622" s="33" t="s">
        <v>244</v>
      </c>
      <c r="B622" s="39">
        <v>45957</v>
      </c>
      <c r="C622" s="35" t="str">
        <f t="shared" si="19"/>
        <v>10-2025</v>
      </c>
      <c r="D622" s="36" t="s">
        <v>28</v>
      </c>
      <c r="E622" s="36" t="s">
        <v>29</v>
      </c>
      <c r="F622" s="37">
        <v>412.36</v>
      </c>
      <c r="G622" s="36" t="s">
        <v>16</v>
      </c>
      <c r="H622" s="37">
        <f t="shared" si="1"/>
        <v>1</v>
      </c>
      <c r="I622" s="37">
        <f t="shared" si="20"/>
        <v>2</v>
      </c>
      <c r="J622" s="37" t="str">
        <f>IF(COUNTIF($A$2:A622,A622)=1,"New","Repeat")</f>
        <v>New</v>
      </c>
      <c r="K622" s="37">
        <f ca="1">IFERROR(__xludf.DUMMYFUNCTION("IF(I622=""4+"",
   COUNTUNIQUE(FILTER(A:A, I:I&gt;=4)),
   COUNTUNIQUE(FILTER(A:A, I:I=I622))
)"),37)</f>
        <v>37</v>
      </c>
      <c r="L622" s="36"/>
      <c r="M622" s="36"/>
      <c r="N622" s="36"/>
    </row>
    <row r="623" spans="1:14" ht="15" x14ac:dyDescent="0.25">
      <c r="A623" s="33" t="s">
        <v>148</v>
      </c>
      <c r="B623" s="34">
        <v>45862</v>
      </c>
      <c r="C623" s="35" t="str">
        <f t="shared" si="19"/>
        <v>07-2025</v>
      </c>
      <c r="D623" s="36" t="s">
        <v>18</v>
      </c>
      <c r="E623" s="36" t="s">
        <v>21</v>
      </c>
      <c r="F623" s="37">
        <v>338.64</v>
      </c>
      <c r="G623" s="36" t="s">
        <v>37</v>
      </c>
      <c r="H623" s="37">
        <f t="shared" si="1"/>
        <v>1</v>
      </c>
      <c r="I623" s="37">
        <f t="shared" si="20"/>
        <v>6</v>
      </c>
      <c r="J623" s="37" t="str">
        <f>IF(COUNTIF($A$2:A623,A623)=1,"New","Repeat")</f>
        <v>Repeat</v>
      </c>
      <c r="K623" s="37">
        <f ca="1">IFERROR(__xludf.DUMMYFUNCTION("IF(I623=""4+"",
   COUNTUNIQUE(FILTER(A:A, I:I&gt;=4)),
   COUNTUNIQUE(FILTER(A:A, I:I=I623))
)"),19)</f>
        <v>19</v>
      </c>
      <c r="L623" s="36"/>
      <c r="M623" s="36"/>
      <c r="N623" s="36"/>
    </row>
    <row r="624" spans="1:14" ht="15" x14ac:dyDescent="0.25">
      <c r="A624" s="33" t="s">
        <v>227</v>
      </c>
      <c r="B624" s="34">
        <v>45924</v>
      </c>
      <c r="C624" s="35" t="str">
        <f t="shared" si="19"/>
        <v>09-2025</v>
      </c>
      <c r="D624" s="36" t="s">
        <v>18</v>
      </c>
      <c r="E624" s="36" t="s">
        <v>19</v>
      </c>
      <c r="F624" s="37">
        <v>183.08</v>
      </c>
      <c r="G624" s="36" t="s">
        <v>70</v>
      </c>
      <c r="H624" s="37">
        <f t="shared" si="1"/>
        <v>1</v>
      </c>
      <c r="I624" s="37">
        <f t="shared" si="20"/>
        <v>3</v>
      </c>
      <c r="J624" s="37" t="str">
        <f>IF(COUNTIF($A$2:A624,A624)=1,"New","Repeat")</f>
        <v>Repeat</v>
      </c>
      <c r="K624" s="37">
        <f ca="1">IFERROR(__xludf.DUMMYFUNCTION("IF(I624=""4+"",
   COUNTUNIQUE(FILTER(A:A, I:I&gt;=4)),
   COUNTUNIQUE(FILTER(A:A, I:I=I624))
)"),42)</f>
        <v>42</v>
      </c>
      <c r="L624" s="36"/>
      <c r="M624" s="36"/>
      <c r="N624" s="36"/>
    </row>
    <row r="625" spans="1:14" ht="15" x14ac:dyDescent="0.25">
      <c r="A625" s="33" t="s">
        <v>187</v>
      </c>
      <c r="B625" s="34">
        <v>46061</v>
      </c>
      <c r="C625" s="35" t="str">
        <f t="shared" si="19"/>
        <v>02-2026</v>
      </c>
      <c r="D625" s="36" t="s">
        <v>14</v>
      </c>
      <c r="E625" s="36" t="s">
        <v>41</v>
      </c>
      <c r="F625" s="37">
        <v>227.41</v>
      </c>
      <c r="G625" s="36" t="s">
        <v>37</v>
      </c>
      <c r="H625" s="37">
        <f t="shared" si="1"/>
        <v>1</v>
      </c>
      <c r="I625" s="37">
        <f t="shared" si="20"/>
        <v>4</v>
      </c>
      <c r="J625" s="37" t="str">
        <f>IF(COUNTIF($A$2:A625,A625)=1,"New","Repeat")</f>
        <v>Repeat</v>
      </c>
      <c r="K625" s="37">
        <f ca="1">IFERROR(__xludf.DUMMYFUNCTION("IF(I625=""4+"",
   COUNTUNIQUE(FILTER(A:A, I:I&gt;=4)),
   COUNTUNIQUE(FILTER(A:A, I:I=I625))
)"),32)</f>
        <v>32</v>
      </c>
      <c r="L625" s="36"/>
      <c r="M625" s="36"/>
      <c r="N625" s="36"/>
    </row>
    <row r="626" spans="1:14" ht="15" x14ac:dyDescent="0.25">
      <c r="A626" s="33" t="s">
        <v>190</v>
      </c>
      <c r="B626" s="34">
        <v>45937</v>
      </c>
      <c r="C626" s="35" t="str">
        <f t="shared" si="19"/>
        <v>10-2025</v>
      </c>
      <c r="D626" s="36" t="s">
        <v>51</v>
      </c>
      <c r="E626" s="36" t="s">
        <v>68</v>
      </c>
      <c r="F626" s="37">
        <v>499.57</v>
      </c>
      <c r="G626" s="36" t="s">
        <v>30</v>
      </c>
      <c r="H626" s="37">
        <f t="shared" si="1"/>
        <v>1</v>
      </c>
      <c r="I626" s="37">
        <f t="shared" si="20"/>
        <v>3</v>
      </c>
      <c r="J626" s="37" t="str">
        <f>IF(COUNTIF($A$2:A626,A626)=1,"New","Repeat")</f>
        <v>Repeat</v>
      </c>
      <c r="K626" s="37">
        <f ca="1">IFERROR(__xludf.DUMMYFUNCTION("IF(I626=""4+"",
   COUNTUNIQUE(FILTER(A:A, I:I&gt;=4)),
   COUNTUNIQUE(FILTER(A:A, I:I=I626))
)"),42)</f>
        <v>42</v>
      </c>
      <c r="L626" s="36"/>
      <c r="M626" s="36"/>
      <c r="N626" s="36"/>
    </row>
    <row r="627" spans="1:14" ht="15" x14ac:dyDescent="0.25">
      <c r="A627" s="33" t="s">
        <v>230</v>
      </c>
      <c r="B627" s="34">
        <v>45733</v>
      </c>
      <c r="C627" s="35" t="str">
        <f t="shared" si="19"/>
        <v>03-2025</v>
      </c>
      <c r="D627" s="36" t="s">
        <v>28</v>
      </c>
      <c r="E627" s="36" t="s">
        <v>87</v>
      </c>
      <c r="F627" s="37">
        <v>103.68</v>
      </c>
      <c r="G627" s="36" t="s">
        <v>30</v>
      </c>
      <c r="H627" s="37">
        <f t="shared" si="1"/>
        <v>1</v>
      </c>
      <c r="I627" s="37">
        <f t="shared" si="20"/>
        <v>3</v>
      </c>
      <c r="J627" s="37" t="str">
        <f>IF(COUNTIF($A$2:A627,A627)=1,"New","Repeat")</f>
        <v>Repeat</v>
      </c>
      <c r="K627" s="37">
        <f ca="1">IFERROR(__xludf.DUMMYFUNCTION("IF(I627=""4+"",
   COUNTUNIQUE(FILTER(A:A, I:I&gt;=4)),
   COUNTUNIQUE(FILTER(A:A, I:I=I627))
)"),42)</f>
        <v>42</v>
      </c>
      <c r="L627" s="36"/>
      <c r="M627" s="36"/>
      <c r="N627" s="36"/>
    </row>
    <row r="628" spans="1:14" ht="15" x14ac:dyDescent="0.25">
      <c r="A628" s="33" t="s">
        <v>169</v>
      </c>
      <c r="B628" s="34">
        <v>45920</v>
      </c>
      <c r="C628" s="35" t="str">
        <f t="shared" si="19"/>
        <v>09-2025</v>
      </c>
      <c r="D628" s="36" t="s">
        <v>28</v>
      </c>
      <c r="E628" s="36" t="s">
        <v>74</v>
      </c>
      <c r="F628" s="37">
        <v>453.76</v>
      </c>
      <c r="G628" s="36" t="s">
        <v>16</v>
      </c>
      <c r="H628" s="37">
        <f t="shared" si="1"/>
        <v>1</v>
      </c>
      <c r="I628" s="37">
        <f t="shared" si="20"/>
        <v>4</v>
      </c>
      <c r="J628" s="37" t="str">
        <f>IF(COUNTIF($A$2:A628,A628)=1,"New","Repeat")</f>
        <v>Repeat</v>
      </c>
      <c r="K628" s="37">
        <f ca="1">IFERROR(__xludf.DUMMYFUNCTION("IF(I628=""4+"",
   COUNTUNIQUE(FILTER(A:A, I:I&gt;=4)),
   COUNTUNIQUE(FILTER(A:A, I:I=I628))
)"),32)</f>
        <v>32</v>
      </c>
      <c r="L628" s="36"/>
      <c r="M628" s="36"/>
      <c r="N628" s="36"/>
    </row>
    <row r="629" spans="1:14" ht="15" x14ac:dyDescent="0.25">
      <c r="A629" s="33" t="s">
        <v>125</v>
      </c>
      <c r="B629" s="34">
        <v>45749</v>
      </c>
      <c r="C629" s="35" t="str">
        <f t="shared" si="19"/>
        <v>04-2025</v>
      </c>
      <c r="D629" s="36" t="s">
        <v>51</v>
      </c>
      <c r="E629" s="36" t="s">
        <v>52</v>
      </c>
      <c r="F629" s="37">
        <v>484.75</v>
      </c>
      <c r="G629" s="36" t="s">
        <v>37</v>
      </c>
      <c r="H629" s="37">
        <f t="shared" si="1"/>
        <v>1</v>
      </c>
      <c r="I629" s="37">
        <f t="shared" si="20"/>
        <v>5</v>
      </c>
      <c r="J629" s="37" t="str">
        <f>IF(COUNTIF($A$2:A629,A629)=1,"New","Repeat")</f>
        <v>Repeat</v>
      </c>
      <c r="K629" s="37">
        <f ca="1">IFERROR(__xludf.DUMMYFUNCTION("IF(I629=""4+"",
   COUNTUNIQUE(FILTER(A:A, I:I&gt;=4)),
   COUNTUNIQUE(FILTER(A:A, I:I=I629))
)"),34)</f>
        <v>34</v>
      </c>
      <c r="L629" s="36"/>
      <c r="M629" s="36"/>
      <c r="N629" s="36"/>
    </row>
    <row r="630" spans="1:14" ht="15" x14ac:dyDescent="0.25">
      <c r="A630" s="33" t="s">
        <v>50</v>
      </c>
      <c r="B630" s="34">
        <v>45842</v>
      </c>
      <c r="C630" s="35" t="str">
        <f t="shared" si="19"/>
        <v>07-2025</v>
      </c>
      <c r="D630" s="36" t="s">
        <v>18</v>
      </c>
      <c r="E630" s="36" t="s">
        <v>47</v>
      </c>
      <c r="F630" s="37">
        <v>444.11</v>
      </c>
      <c r="G630" s="36" t="s">
        <v>22</v>
      </c>
      <c r="H630" s="37">
        <f t="shared" si="1"/>
        <v>1</v>
      </c>
      <c r="I630" s="37">
        <f t="shared" si="20"/>
        <v>8</v>
      </c>
      <c r="J630" s="37" t="str">
        <f>IF(COUNTIF($A$2:A630,A630)=1,"New","Repeat")</f>
        <v>Repeat</v>
      </c>
      <c r="K630" s="37">
        <f ca="1">IFERROR(__xludf.DUMMYFUNCTION("IF(I630=""4+"",
   COUNTUNIQUE(FILTER(A:A, I:I&gt;=4)),
   COUNTUNIQUE(FILTER(A:A, I:I=I630))
)"),1)</f>
        <v>1</v>
      </c>
      <c r="L630" s="36"/>
      <c r="M630" s="36"/>
      <c r="N630" s="36"/>
    </row>
    <row r="631" spans="1:14" ht="15" x14ac:dyDescent="0.25">
      <c r="A631" s="33" t="s">
        <v>212</v>
      </c>
      <c r="B631" s="34">
        <v>45715</v>
      </c>
      <c r="C631" s="35" t="str">
        <f t="shared" si="19"/>
        <v>02-2025</v>
      </c>
      <c r="D631" s="36" t="s">
        <v>18</v>
      </c>
      <c r="E631" s="36" t="s">
        <v>21</v>
      </c>
      <c r="F631" s="37">
        <v>68.900000000000006</v>
      </c>
      <c r="G631" s="36" t="s">
        <v>30</v>
      </c>
      <c r="H631" s="37">
        <f t="shared" si="1"/>
        <v>1</v>
      </c>
      <c r="I631" s="37">
        <f t="shared" si="20"/>
        <v>3</v>
      </c>
      <c r="J631" s="37" t="str">
        <f>IF(COUNTIF($A$2:A631,A631)=1,"New","Repeat")</f>
        <v>Repeat</v>
      </c>
      <c r="K631" s="37">
        <f ca="1">IFERROR(__xludf.DUMMYFUNCTION("IF(I631=""4+"",
   COUNTUNIQUE(FILTER(A:A, I:I&gt;=4)),
   COUNTUNIQUE(FILTER(A:A, I:I=I631))
)"),42)</f>
        <v>42</v>
      </c>
      <c r="L631" s="36"/>
      <c r="M631" s="36"/>
      <c r="N631" s="36"/>
    </row>
    <row r="632" spans="1:14" ht="15" x14ac:dyDescent="0.25">
      <c r="A632" s="33" t="s">
        <v>161</v>
      </c>
      <c r="B632" s="34">
        <v>45970</v>
      </c>
      <c r="C632" s="35" t="str">
        <f t="shared" si="19"/>
        <v>11-2025</v>
      </c>
      <c r="D632" s="36" t="s">
        <v>14</v>
      </c>
      <c r="E632" s="36" t="s">
        <v>59</v>
      </c>
      <c r="F632" s="37">
        <v>317.32</v>
      </c>
      <c r="G632" s="36" t="s">
        <v>16</v>
      </c>
      <c r="H632" s="37">
        <f t="shared" si="1"/>
        <v>1</v>
      </c>
      <c r="I632" s="37">
        <f t="shared" si="20"/>
        <v>6</v>
      </c>
      <c r="J632" s="37" t="str">
        <f>IF(COUNTIF($A$2:A632,A632)=1,"New","Repeat")</f>
        <v>Repeat</v>
      </c>
      <c r="K632" s="37">
        <f ca="1">IFERROR(__xludf.DUMMYFUNCTION("IF(I632=""4+"",
   COUNTUNIQUE(FILTER(A:A, I:I&gt;=4)),
   COUNTUNIQUE(FILTER(A:A, I:I=I632))
)"),19)</f>
        <v>19</v>
      </c>
      <c r="L632" s="36"/>
      <c r="M632" s="36"/>
      <c r="N632" s="36"/>
    </row>
    <row r="633" spans="1:14" ht="15" x14ac:dyDescent="0.25">
      <c r="A633" s="33" t="s">
        <v>83</v>
      </c>
      <c r="B633" s="34">
        <v>45923</v>
      </c>
      <c r="C633" s="35" t="str">
        <f t="shared" si="19"/>
        <v>09-2025</v>
      </c>
      <c r="D633" s="36" t="s">
        <v>51</v>
      </c>
      <c r="E633" s="36" t="s">
        <v>145</v>
      </c>
      <c r="F633" s="37">
        <v>415.86</v>
      </c>
      <c r="G633" s="36" t="s">
        <v>25</v>
      </c>
      <c r="H633" s="37">
        <f t="shared" si="1"/>
        <v>1</v>
      </c>
      <c r="I633" s="37">
        <f t="shared" si="20"/>
        <v>4</v>
      </c>
      <c r="J633" s="37" t="str">
        <f>IF(COUNTIF($A$2:A633,A633)=1,"New","Repeat")</f>
        <v>Repeat</v>
      </c>
      <c r="K633" s="37">
        <f ca="1">IFERROR(__xludf.DUMMYFUNCTION("IF(I633=""4+"",
   COUNTUNIQUE(FILTER(A:A, I:I&gt;=4)),
   COUNTUNIQUE(FILTER(A:A, I:I=I633))
)"),32)</f>
        <v>32</v>
      </c>
      <c r="L633" s="36"/>
      <c r="M633" s="36"/>
      <c r="N633" s="36"/>
    </row>
    <row r="634" spans="1:14" ht="15" x14ac:dyDescent="0.25">
      <c r="A634" s="33" t="s">
        <v>81</v>
      </c>
      <c r="B634" s="34">
        <v>45745</v>
      </c>
      <c r="C634" s="35" t="str">
        <f t="shared" si="19"/>
        <v>03-2025</v>
      </c>
      <c r="D634" s="36" t="s">
        <v>18</v>
      </c>
      <c r="E634" s="36" t="s">
        <v>65</v>
      </c>
      <c r="F634" s="37">
        <v>118.71</v>
      </c>
      <c r="G634" s="36" t="s">
        <v>70</v>
      </c>
      <c r="H634" s="37">
        <f t="shared" si="1"/>
        <v>1</v>
      </c>
      <c r="I634" s="37">
        <f t="shared" si="20"/>
        <v>10</v>
      </c>
      <c r="J634" s="37" t="str">
        <f>IF(COUNTIF($A$2:A634,A634)=1,"New","Repeat")</f>
        <v>Repeat</v>
      </c>
      <c r="K634" s="37">
        <f ca="1">IFERROR(__xludf.DUMMYFUNCTION("IF(I634=""4+"",
   COUNTUNIQUE(FILTER(A:A, I:I&gt;=4)),
   COUNTUNIQUE(FILTER(A:A, I:I=I634))
)"),1)</f>
        <v>1</v>
      </c>
      <c r="L634" s="36"/>
      <c r="M634" s="36"/>
      <c r="N634" s="36"/>
    </row>
    <row r="635" spans="1:14" ht="15" x14ac:dyDescent="0.25">
      <c r="A635" s="33" t="s">
        <v>80</v>
      </c>
      <c r="B635" s="34">
        <v>45890</v>
      </c>
      <c r="C635" s="35" t="str">
        <f t="shared" si="19"/>
        <v>08-2025</v>
      </c>
      <c r="D635" s="36" t="s">
        <v>51</v>
      </c>
      <c r="E635" s="36" t="s">
        <v>101</v>
      </c>
      <c r="F635" s="37">
        <v>248.25</v>
      </c>
      <c r="G635" s="36" t="s">
        <v>33</v>
      </c>
      <c r="H635" s="37">
        <f t="shared" si="1"/>
        <v>1</v>
      </c>
      <c r="I635" s="37">
        <f t="shared" si="20"/>
        <v>6</v>
      </c>
      <c r="J635" s="37" t="str">
        <f>IF(COUNTIF($A$2:A635,A635)=1,"New","Repeat")</f>
        <v>Repeat</v>
      </c>
      <c r="K635" s="37">
        <f ca="1">IFERROR(__xludf.DUMMYFUNCTION("IF(I635=""4+"",
   COUNTUNIQUE(FILTER(A:A, I:I&gt;=4)),
   COUNTUNIQUE(FILTER(A:A, I:I=I635))
)"),19)</f>
        <v>19</v>
      </c>
      <c r="L635" s="36"/>
      <c r="M635" s="36"/>
      <c r="N635" s="36"/>
    </row>
    <row r="636" spans="1:14" ht="15" x14ac:dyDescent="0.25">
      <c r="A636" s="33" t="s">
        <v>63</v>
      </c>
      <c r="B636" s="34">
        <v>46055</v>
      </c>
      <c r="C636" s="35" t="str">
        <f t="shared" si="19"/>
        <v>02-2026</v>
      </c>
      <c r="D636" s="36" t="s">
        <v>18</v>
      </c>
      <c r="E636" s="36" t="s">
        <v>21</v>
      </c>
      <c r="F636" s="37">
        <v>38.119999999999997</v>
      </c>
      <c r="G636" s="36" t="s">
        <v>70</v>
      </c>
      <c r="H636" s="37">
        <f t="shared" si="1"/>
        <v>1</v>
      </c>
      <c r="I636" s="37">
        <f t="shared" si="20"/>
        <v>6</v>
      </c>
      <c r="J636" s="37" t="str">
        <f>IF(COUNTIF($A$2:A636,A636)=1,"New","Repeat")</f>
        <v>Repeat</v>
      </c>
      <c r="K636" s="37">
        <f ca="1">IFERROR(__xludf.DUMMYFUNCTION("IF(I636=""4+"",
   COUNTUNIQUE(FILTER(A:A, I:I&gt;=4)),
   COUNTUNIQUE(FILTER(A:A, I:I=I636))
)"),19)</f>
        <v>19</v>
      </c>
      <c r="L636" s="36"/>
      <c r="M636" s="36"/>
      <c r="N636" s="36"/>
    </row>
    <row r="637" spans="1:14" ht="15" x14ac:dyDescent="0.25">
      <c r="A637" s="33" t="s">
        <v>46</v>
      </c>
      <c r="B637" s="34">
        <v>45883</v>
      </c>
      <c r="C637" s="35" t="str">
        <f t="shared" si="19"/>
        <v>08-2025</v>
      </c>
      <c r="D637" s="36" t="s">
        <v>35</v>
      </c>
      <c r="E637" s="36" t="s">
        <v>54</v>
      </c>
      <c r="F637" s="37">
        <v>402.5</v>
      </c>
      <c r="G637" s="36" t="s">
        <v>16</v>
      </c>
      <c r="H637" s="37">
        <f t="shared" si="1"/>
        <v>1</v>
      </c>
      <c r="I637" s="37">
        <f t="shared" si="20"/>
        <v>4</v>
      </c>
      <c r="J637" s="37" t="str">
        <f>IF(COUNTIF($A$2:A637,A637)=1,"New","Repeat")</f>
        <v>Repeat</v>
      </c>
      <c r="K637" s="37">
        <f ca="1">IFERROR(__xludf.DUMMYFUNCTION("IF(I637=""4+"",
   COUNTUNIQUE(FILTER(A:A, I:I&gt;=4)),
   COUNTUNIQUE(FILTER(A:A, I:I=I637))
)"),32)</f>
        <v>32</v>
      </c>
      <c r="L637" s="36"/>
      <c r="M637" s="36"/>
      <c r="N637" s="36"/>
    </row>
    <row r="638" spans="1:14" ht="15" x14ac:dyDescent="0.25">
      <c r="A638" s="33" t="s">
        <v>90</v>
      </c>
      <c r="B638" s="34">
        <v>45875</v>
      </c>
      <c r="C638" s="35" t="str">
        <f t="shared" si="19"/>
        <v>08-2025</v>
      </c>
      <c r="D638" s="36" t="s">
        <v>14</v>
      </c>
      <c r="E638" s="36" t="s">
        <v>32</v>
      </c>
      <c r="F638" s="37">
        <v>156.04</v>
      </c>
      <c r="G638" s="36" t="s">
        <v>30</v>
      </c>
      <c r="H638" s="37">
        <f t="shared" si="1"/>
        <v>1</v>
      </c>
      <c r="I638" s="37">
        <f t="shared" si="20"/>
        <v>5</v>
      </c>
      <c r="J638" s="37" t="str">
        <f>IF(COUNTIF($A$2:A638,A638)=1,"New","Repeat")</f>
        <v>Repeat</v>
      </c>
      <c r="K638" s="37">
        <f ca="1">IFERROR(__xludf.DUMMYFUNCTION("IF(I638=""4+"",
   COUNTUNIQUE(FILTER(A:A, I:I&gt;=4)),
   COUNTUNIQUE(FILTER(A:A, I:I=I638))
)"),34)</f>
        <v>34</v>
      </c>
      <c r="L638" s="36"/>
      <c r="M638" s="36"/>
      <c r="N638" s="36"/>
    </row>
    <row r="639" spans="1:14" ht="15" x14ac:dyDescent="0.25">
      <c r="A639" s="33" t="s">
        <v>42</v>
      </c>
      <c r="B639" s="34">
        <v>45715</v>
      </c>
      <c r="C639" s="35" t="str">
        <f t="shared" si="19"/>
        <v>02-2025</v>
      </c>
      <c r="D639" s="36" t="s">
        <v>51</v>
      </c>
      <c r="E639" s="36" t="s">
        <v>52</v>
      </c>
      <c r="F639" s="37">
        <v>426.61</v>
      </c>
      <c r="G639" s="36" t="s">
        <v>70</v>
      </c>
      <c r="H639" s="37">
        <f t="shared" si="1"/>
        <v>1</v>
      </c>
      <c r="I639" s="37">
        <f t="shared" si="20"/>
        <v>4</v>
      </c>
      <c r="J639" s="37" t="str">
        <f>IF(COUNTIF($A$2:A639,A639)=1,"New","Repeat")</f>
        <v>Repeat</v>
      </c>
      <c r="K639" s="37">
        <f ca="1">IFERROR(__xludf.DUMMYFUNCTION("IF(I639=""4+"",
   COUNTUNIQUE(FILTER(A:A, I:I&gt;=4)),
   COUNTUNIQUE(FILTER(A:A, I:I=I639))
)"),32)</f>
        <v>32</v>
      </c>
      <c r="L639" s="36"/>
      <c r="M639" s="36"/>
      <c r="N639" s="36"/>
    </row>
    <row r="640" spans="1:14" ht="15" x14ac:dyDescent="0.25">
      <c r="A640" s="33" t="s">
        <v>165</v>
      </c>
      <c r="B640" s="39">
        <v>46008</v>
      </c>
      <c r="C640" s="35" t="str">
        <f t="shared" si="19"/>
        <v>12-2025</v>
      </c>
      <c r="D640" s="36" t="s">
        <v>51</v>
      </c>
      <c r="E640" s="36" t="s">
        <v>145</v>
      </c>
      <c r="F640" s="37">
        <v>159.81</v>
      </c>
      <c r="G640" s="36" t="s">
        <v>33</v>
      </c>
      <c r="H640" s="37">
        <f t="shared" si="1"/>
        <v>1</v>
      </c>
      <c r="I640" s="37">
        <f t="shared" si="20"/>
        <v>4</v>
      </c>
      <c r="J640" s="37" t="str">
        <f>IF(COUNTIF($A$2:A640,A640)=1,"New","Repeat")</f>
        <v>Repeat</v>
      </c>
      <c r="K640" s="37">
        <f ca="1">IFERROR(__xludf.DUMMYFUNCTION("IF(I640=""4+"",
   COUNTUNIQUE(FILTER(A:A, I:I&gt;=4)),
   COUNTUNIQUE(FILTER(A:A, I:I=I640))
)"),32)</f>
        <v>32</v>
      </c>
      <c r="L640" s="36"/>
      <c r="M640" s="36"/>
      <c r="N640" s="36"/>
    </row>
    <row r="641" spans="1:14" ht="15" x14ac:dyDescent="0.25">
      <c r="A641" s="33" t="s">
        <v>187</v>
      </c>
      <c r="B641" s="34">
        <v>45818</v>
      </c>
      <c r="C641" s="35" t="str">
        <f t="shared" si="19"/>
        <v>06-2025</v>
      </c>
      <c r="D641" s="36" t="s">
        <v>51</v>
      </c>
      <c r="E641" s="36" t="s">
        <v>52</v>
      </c>
      <c r="F641" s="37">
        <v>254.17</v>
      </c>
      <c r="G641" s="36" t="s">
        <v>25</v>
      </c>
      <c r="H641" s="37">
        <f t="shared" si="1"/>
        <v>1</v>
      </c>
      <c r="I641" s="37">
        <f t="shared" si="20"/>
        <v>4</v>
      </c>
      <c r="J641" s="37" t="str">
        <f>IF(COUNTIF($A$2:A641,A641)=1,"New","Repeat")</f>
        <v>Repeat</v>
      </c>
      <c r="K641" s="37">
        <f ca="1">IFERROR(__xludf.DUMMYFUNCTION("IF(I641=""4+"",
   COUNTUNIQUE(FILTER(A:A, I:I&gt;=4)),
   COUNTUNIQUE(FILTER(A:A, I:I=I641))
)"),32)</f>
        <v>32</v>
      </c>
      <c r="L641" s="36"/>
      <c r="M641" s="36"/>
      <c r="N641" s="36"/>
    </row>
    <row r="642" spans="1:14" ht="15" x14ac:dyDescent="0.25">
      <c r="A642" s="33" t="s">
        <v>77</v>
      </c>
      <c r="B642" s="34">
        <v>45830</v>
      </c>
      <c r="C642" s="35" t="str">
        <f t="shared" ref="C642:C705" si="21">TEXT(B:B, "mm-yyyy")</f>
        <v>06-2025</v>
      </c>
      <c r="D642" s="36" t="s">
        <v>14</v>
      </c>
      <c r="E642" s="36" t="s">
        <v>96</v>
      </c>
      <c r="F642" s="37">
        <v>200.97</v>
      </c>
      <c r="G642" s="36" t="s">
        <v>70</v>
      </c>
      <c r="H642" s="37">
        <f t="shared" si="1"/>
        <v>1</v>
      </c>
      <c r="I642" s="37">
        <f t="shared" ref="I642:I701" si="22">COUNTIF($A:$A, A642)</f>
        <v>6</v>
      </c>
      <c r="J642" s="37" t="str">
        <f>IF(COUNTIF($A$2:A642,A642)=1,"New","Repeat")</f>
        <v>Repeat</v>
      </c>
      <c r="K642" s="37">
        <f ca="1">IFERROR(__xludf.DUMMYFUNCTION("IF(I642=""4+"",
   COUNTUNIQUE(FILTER(A:A, I:I&gt;=4)),
   COUNTUNIQUE(FILTER(A:A, I:I=I642))
)"),19)</f>
        <v>19</v>
      </c>
      <c r="L642" s="36"/>
      <c r="M642" s="36"/>
      <c r="N642" s="36"/>
    </row>
    <row r="643" spans="1:14" ht="15" x14ac:dyDescent="0.25">
      <c r="A643" s="33" t="s">
        <v>62</v>
      </c>
      <c r="B643" s="39">
        <v>45982</v>
      </c>
      <c r="C643" s="35" t="str">
        <f t="shared" si="21"/>
        <v>11-2025</v>
      </c>
      <c r="D643" s="36" t="s">
        <v>28</v>
      </c>
      <c r="E643" s="36" t="s">
        <v>45</v>
      </c>
      <c r="F643" s="37">
        <v>307.49</v>
      </c>
      <c r="G643" s="36" t="s">
        <v>70</v>
      </c>
      <c r="H643" s="37">
        <f t="shared" si="1"/>
        <v>1</v>
      </c>
      <c r="I643" s="37">
        <f t="shared" si="22"/>
        <v>4</v>
      </c>
      <c r="J643" s="37" t="str">
        <f>IF(COUNTIF($A$2:A643,A643)=1,"New","Repeat")</f>
        <v>Repeat</v>
      </c>
      <c r="K643" s="37">
        <f ca="1">IFERROR(__xludf.DUMMYFUNCTION("IF(I643=""4+"",
   COUNTUNIQUE(FILTER(A:A, I:I&gt;=4)),
   COUNTUNIQUE(FILTER(A:A, I:I=I643))
)"),32)</f>
        <v>32</v>
      </c>
      <c r="L643" s="36"/>
      <c r="M643" s="36"/>
      <c r="N643" s="36"/>
    </row>
    <row r="644" spans="1:14" ht="15" x14ac:dyDescent="0.25">
      <c r="A644" s="33" t="s">
        <v>134</v>
      </c>
      <c r="B644" s="34">
        <v>45883</v>
      </c>
      <c r="C644" s="35" t="str">
        <f t="shared" si="21"/>
        <v>08-2025</v>
      </c>
      <c r="D644" s="36" t="s">
        <v>14</v>
      </c>
      <c r="E644" s="36" t="s">
        <v>96</v>
      </c>
      <c r="F644" s="37">
        <v>238.09</v>
      </c>
      <c r="G644" s="36" t="s">
        <v>37</v>
      </c>
      <c r="H644" s="37">
        <f t="shared" si="1"/>
        <v>1</v>
      </c>
      <c r="I644" s="37">
        <f t="shared" si="22"/>
        <v>4</v>
      </c>
      <c r="J644" s="37" t="str">
        <f>IF(COUNTIF($A$2:A644,A644)=1,"New","Repeat")</f>
        <v>Repeat</v>
      </c>
      <c r="K644" s="37">
        <f ca="1">IFERROR(__xludf.DUMMYFUNCTION("IF(I644=""4+"",
   COUNTUNIQUE(FILTER(A:A, I:I&gt;=4)),
   COUNTUNIQUE(FILTER(A:A, I:I=I644))
)"),32)</f>
        <v>32</v>
      </c>
      <c r="L644" s="36"/>
      <c r="M644" s="36"/>
      <c r="N644" s="36"/>
    </row>
    <row r="645" spans="1:14" ht="15" x14ac:dyDescent="0.25">
      <c r="A645" s="33" t="s">
        <v>85</v>
      </c>
      <c r="B645" s="34">
        <v>45848</v>
      </c>
      <c r="C645" s="35" t="str">
        <f t="shared" si="21"/>
        <v>07-2025</v>
      </c>
      <c r="D645" s="36" t="s">
        <v>14</v>
      </c>
      <c r="E645" s="36" t="s">
        <v>15</v>
      </c>
      <c r="F645" s="37">
        <v>344.73</v>
      </c>
      <c r="G645" s="36" t="s">
        <v>33</v>
      </c>
      <c r="H645" s="37">
        <f t="shared" si="1"/>
        <v>1</v>
      </c>
      <c r="I645" s="37">
        <f t="shared" si="22"/>
        <v>3</v>
      </c>
      <c r="J645" s="37" t="str">
        <f>IF(COUNTIF($A$2:A645,A645)=1,"New","Repeat")</f>
        <v>Repeat</v>
      </c>
      <c r="K645" s="37">
        <f ca="1">IFERROR(__xludf.DUMMYFUNCTION("IF(I645=""4+"",
   COUNTUNIQUE(FILTER(A:A, I:I&gt;=4)),
   COUNTUNIQUE(FILTER(A:A, I:I=I645))
)"),42)</f>
        <v>42</v>
      </c>
      <c r="L645" s="36"/>
      <c r="M645" s="36"/>
      <c r="N645" s="36"/>
    </row>
    <row r="646" spans="1:14" ht="15" x14ac:dyDescent="0.25">
      <c r="A646" s="33" t="s">
        <v>120</v>
      </c>
      <c r="B646" s="34">
        <v>45921</v>
      </c>
      <c r="C646" s="35" t="str">
        <f t="shared" si="21"/>
        <v>09-2025</v>
      </c>
      <c r="D646" s="36" t="s">
        <v>35</v>
      </c>
      <c r="E646" s="36" t="s">
        <v>36</v>
      </c>
      <c r="F646" s="37">
        <v>114.02</v>
      </c>
      <c r="G646" s="36" t="s">
        <v>70</v>
      </c>
      <c r="H646" s="37">
        <f t="shared" si="1"/>
        <v>1</v>
      </c>
      <c r="I646" s="37">
        <f t="shared" si="22"/>
        <v>5</v>
      </c>
      <c r="J646" s="37" t="str">
        <f>IF(COUNTIF($A$2:A646,A646)=1,"New","Repeat")</f>
        <v>Repeat</v>
      </c>
      <c r="K646" s="37">
        <f ca="1">IFERROR(__xludf.DUMMYFUNCTION("IF(I646=""4+"",
   COUNTUNIQUE(FILTER(A:A, I:I&gt;=4)),
   COUNTUNIQUE(FILTER(A:A, I:I=I646))
)"),34)</f>
        <v>34</v>
      </c>
      <c r="L646" s="36"/>
      <c r="M646" s="36"/>
      <c r="N646" s="36"/>
    </row>
    <row r="647" spans="1:14" ht="15" x14ac:dyDescent="0.25">
      <c r="A647" s="33" t="s">
        <v>67</v>
      </c>
      <c r="B647" s="34">
        <v>45768</v>
      </c>
      <c r="C647" s="35" t="str">
        <f t="shared" si="21"/>
        <v>04-2025</v>
      </c>
      <c r="D647" s="36" t="s">
        <v>35</v>
      </c>
      <c r="E647" s="36" t="s">
        <v>36</v>
      </c>
      <c r="F647" s="37">
        <v>44.6</v>
      </c>
      <c r="G647" s="36" t="s">
        <v>37</v>
      </c>
      <c r="H647" s="37">
        <f t="shared" si="1"/>
        <v>1</v>
      </c>
      <c r="I647" s="37">
        <f t="shared" si="22"/>
        <v>7</v>
      </c>
      <c r="J647" s="37" t="str">
        <f>IF(COUNTIF($A$2:A647,A647)=1,"New","Repeat")</f>
        <v>Repeat</v>
      </c>
      <c r="K647" s="37">
        <f ca="1">IFERROR(__xludf.DUMMYFUNCTION("IF(I647=""4+"",
   COUNTUNIQUE(FILTER(A:A, I:I&gt;=4)),
   COUNTUNIQUE(FILTER(A:A, I:I=I647))
)"),4)</f>
        <v>4</v>
      </c>
      <c r="L647" s="36"/>
      <c r="M647" s="36"/>
      <c r="N647" s="36"/>
    </row>
    <row r="648" spans="1:14" ht="15" x14ac:dyDescent="0.25">
      <c r="A648" s="33" t="s">
        <v>162</v>
      </c>
      <c r="B648" s="34">
        <v>45866</v>
      </c>
      <c r="C648" s="35" t="str">
        <f t="shared" si="21"/>
        <v>07-2025</v>
      </c>
      <c r="D648" s="36" t="s">
        <v>18</v>
      </c>
      <c r="E648" s="36" t="s">
        <v>19</v>
      </c>
      <c r="F648" s="37">
        <v>21.4</v>
      </c>
      <c r="G648" s="36" t="s">
        <v>37</v>
      </c>
      <c r="H648" s="37">
        <f t="shared" si="1"/>
        <v>1</v>
      </c>
      <c r="I648" s="37">
        <f t="shared" si="22"/>
        <v>5</v>
      </c>
      <c r="J648" s="37" t="str">
        <f>IF(COUNTIF($A$2:A648,A648)=1,"New","Repeat")</f>
        <v>Repeat</v>
      </c>
      <c r="K648" s="37">
        <f ca="1">IFERROR(__xludf.DUMMYFUNCTION("IF(I648=""4+"",
   COUNTUNIQUE(FILTER(A:A, I:I&gt;=4)),
   COUNTUNIQUE(FILTER(A:A, I:I=I648))
)"),34)</f>
        <v>34</v>
      </c>
      <c r="L648" s="36"/>
      <c r="M648" s="36"/>
      <c r="N648" s="36"/>
    </row>
    <row r="649" spans="1:14" ht="15" x14ac:dyDescent="0.25">
      <c r="A649" s="33" t="s">
        <v>116</v>
      </c>
      <c r="B649" s="34">
        <v>45744</v>
      </c>
      <c r="C649" s="35" t="str">
        <f t="shared" si="21"/>
        <v>03-2025</v>
      </c>
      <c r="D649" s="36" t="s">
        <v>28</v>
      </c>
      <c r="E649" s="36" t="s">
        <v>74</v>
      </c>
      <c r="F649" s="37">
        <v>395.58</v>
      </c>
      <c r="G649" s="36" t="s">
        <v>30</v>
      </c>
      <c r="H649" s="37">
        <f t="shared" si="1"/>
        <v>1</v>
      </c>
      <c r="I649" s="37">
        <f t="shared" si="22"/>
        <v>7</v>
      </c>
      <c r="J649" s="37" t="str">
        <f>IF(COUNTIF($A$2:A649,A649)=1,"New","Repeat")</f>
        <v>Repeat</v>
      </c>
      <c r="K649" s="37">
        <f ca="1">IFERROR(__xludf.DUMMYFUNCTION("IF(I649=""4+"",
   COUNTUNIQUE(FILTER(A:A, I:I&gt;=4)),
   COUNTUNIQUE(FILTER(A:A, I:I=I649))
)"),4)</f>
        <v>4</v>
      </c>
      <c r="L649" s="36"/>
      <c r="M649" s="36"/>
      <c r="N649" s="36"/>
    </row>
    <row r="650" spans="1:14" ht="15" x14ac:dyDescent="0.25">
      <c r="A650" s="33" t="s">
        <v>81</v>
      </c>
      <c r="B650" s="39">
        <v>46017</v>
      </c>
      <c r="C650" s="35" t="str">
        <f t="shared" si="21"/>
        <v>12-2025</v>
      </c>
      <c r="D650" s="36" t="s">
        <v>18</v>
      </c>
      <c r="E650" s="36" t="s">
        <v>19</v>
      </c>
      <c r="F650" s="37">
        <v>117.53</v>
      </c>
      <c r="G650" s="36" t="s">
        <v>16</v>
      </c>
      <c r="H650" s="37">
        <f t="shared" si="1"/>
        <v>1</v>
      </c>
      <c r="I650" s="37">
        <f t="shared" si="22"/>
        <v>10</v>
      </c>
      <c r="J650" s="37" t="str">
        <f>IF(COUNTIF($A$2:A650,A650)=1,"New","Repeat")</f>
        <v>Repeat</v>
      </c>
      <c r="K650" s="37">
        <f ca="1">IFERROR(__xludf.DUMMYFUNCTION("IF(I650=""4+"",
   COUNTUNIQUE(FILTER(A:A, I:I&gt;=4)),
   COUNTUNIQUE(FILTER(A:A, I:I=I650))
)"),1)</f>
        <v>1</v>
      </c>
      <c r="L650" s="36"/>
      <c r="M650" s="36"/>
      <c r="N650" s="36"/>
    </row>
    <row r="651" spans="1:14" ht="15" x14ac:dyDescent="0.25">
      <c r="A651" s="33" t="s">
        <v>184</v>
      </c>
      <c r="B651" s="34">
        <v>45824</v>
      </c>
      <c r="C651" s="35" t="str">
        <f t="shared" si="21"/>
        <v>06-2025</v>
      </c>
      <c r="D651" s="36" t="s">
        <v>51</v>
      </c>
      <c r="E651" s="36" t="s">
        <v>101</v>
      </c>
      <c r="F651" s="37">
        <v>51.22</v>
      </c>
      <c r="G651" s="36" t="s">
        <v>22</v>
      </c>
      <c r="H651" s="37">
        <f t="shared" si="1"/>
        <v>1</v>
      </c>
      <c r="I651" s="37">
        <f t="shared" si="22"/>
        <v>6</v>
      </c>
      <c r="J651" s="37" t="str">
        <f>IF(COUNTIF($A$2:A651,A651)=1,"New","Repeat")</f>
        <v>Repeat</v>
      </c>
      <c r="K651" s="37">
        <f ca="1">IFERROR(__xludf.DUMMYFUNCTION("IF(I651=""4+"",
   COUNTUNIQUE(FILTER(A:A, I:I&gt;=4)),
   COUNTUNIQUE(FILTER(A:A, I:I=I651))
)"),19)</f>
        <v>19</v>
      </c>
      <c r="L651" s="36"/>
      <c r="M651" s="36"/>
      <c r="N651" s="36"/>
    </row>
    <row r="652" spans="1:14" ht="15" x14ac:dyDescent="0.25">
      <c r="A652" s="33" t="s">
        <v>236</v>
      </c>
      <c r="B652" s="34">
        <v>45735</v>
      </c>
      <c r="C652" s="35" t="str">
        <f t="shared" si="21"/>
        <v>03-2025</v>
      </c>
      <c r="D652" s="36" t="s">
        <v>14</v>
      </c>
      <c r="E652" s="36" t="s">
        <v>59</v>
      </c>
      <c r="F652" s="37">
        <v>39.99</v>
      </c>
      <c r="G652" s="36" t="s">
        <v>33</v>
      </c>
      <c r="H652" s="37">
        <f t="shared" si="1"/>
        <v>1</v>
      </c>
      <c r="I652" s="37">
        <f t="shared" si="22"/>
        <v>2</v>
      </c>
      <c r="J652" s="37" t="str">
        <f>IF(COUNTIF($A$2:A652,A652)=1,"New","Repeat")</f>
        <v>Repeat</v>
      </c>
      <c r="K652" s="37">
        <f ca="1">IFERROR(__xludf.DUMMYFUNCTION("IF(I652=""4+"",
   COUNTUNIQUE(FILTER(A:A, I:I&gt;=4)),
   COUNTUNIQUE(FILTER(A:A, I:I=I652))
)"),37)</f>
        <v>37</v>
      </c>
      <c r="L652" s="36"/>
      <c r="M652" s="36"/>
      <c r="N652" s="36"/>
    </row>
    <row r="653" spans="1:14" ht="15" x14ac:dyDescent="0.25">
      <c r="A653" s="33" t="s">
        <v>218</v>
      </c>
      <c r="B653" s="34">
        <v>45760</v>
      </c>
      <c r="C653" s="35" t="str">
        <f t="shared" si="21"/>
        <v>04-2025</v>
      </c>
      <c r="D653" s="36" t="s">
        <v>51</v>
      </c>
      <c r="E653" s="36" t="s">
        <v>145</v>
      </c>
      <c r="F653" s="37">
        <v>308.27999999999997</v>
      </c>
      <c r="G653" s="36" t="s">
        <v>33</v>
      </c>
      <c r="H653" s="37">
        <f t="shared" si="1"/>
        <v>1</v>
      </c>
      <c r="I653" s="37">
        <f t="shared" si="22"/>
        <v>4</v>
      </c>
      <c r="J653" s="37" t="str">
        <f>IF(COUNTIF($A$2:A653,A653)=1,"New","Repeat")</f>
        <v>Repeat</v>
      </c>
      <c r="K653" s="37">
        <f ca="1">IFERROR(__xludf.DUMMYFUNCTION("IF(I653=""4+"",
   COUNTUNIQUE(FILTER(A:A, I:I&gt;=4)),
   COUNTUNIQUE(FILTER(A:A, I:I=I653))
)"),32)</f>
        <v>32</v>
      </c>
      <c r="L653" s="36"/>
      <c r="M653" s="36"/>
      <c r="N653" s="36"/>
    </row>
    <row r="654" spans="1:14" ht="15" x14ac:dyDescent="0.25">
      <c r="A654" s="33" t="s">
        <v>13</v>
      </c>
      <c r="B654" s="39">
        <v>45946</v>
      </c>
      <c r="C654" s="35" t="str">
        <f t="shared" si="21"/>
        <v>10-2025</v>
      </c>
      <c r="D654" s="36" t="s">
        <v>18</v>
      </c>
      <c r="E654" s="36" t="s">
        <v>19</v>
      </c>
      <c r="F654" s="37">
        <v>122.29</v>
      </c>
      <c r="G654" s="36" t="s">
        <v>16</v>
      </c>
      <c r="H654" s="37">
        <f t="shared" si="1"/>
        <v>1</v>
      </c>
      <c r="I654" s="37">
        <f t="shared" si="22"/>
        <v>3</v>
      </c>
      <c r="J654" s="37" t="str">
        <f>IF(COUNTIF($A$2:A654,A654)=1,"New","Repeat")</f>
        <v>Repeat</v>
      </c>
      <c r="K654" s="37">
        <f ca="1">IFERROR(__xludf.DUMMYFUNCTION("IF(I654=""4+"",
   COUNTUNIQUE(FILTER(A:A, I:I&gt;=4)),
   COUNTUNIQUE(FILTER(A:A, I:I=I654))
)"),42)</f>
        <v>42</v>
      </c>
      <c r="L654" s="36"/>
      <c r="M654" s="36"/>
      <c r="N654" s="36"/>
    </row>
    <row r="655" spans="1:14" ht="15" x14ac:dyDescent="0.25">
      <c r="A655" s="33" t="s">
        <v>206</v>
      </c>
      <c r="B655" s="34">
        <v>45773</v>
      </c>
      <c r="C655" s="35" t="str">
        <f t="shared" si="21"/>
        <v>04-2025</v>
      </c>
      <c r="D655" s="36" t="s">
        <v>28</v>
      </c>
      <c r="E655" s="36" t="s">
        <v>74</v>
      </c>
      <c r="F655" s="37">
        <v>190.03</v>
      </c>
      <c r="G655" s="36" t="s">
        <v>70</v>
      </c>
      <c r="H655" s="37">
        <f t="shared" si="1"/>
        <v>1</v>
      </c>
      <c r="I655" s="37">
        <f t="shared" si="22"/>
        <v>2</v>
      </c>
      <c r="J655" s="37" t="str">
        <f>IF(COUNTIF($A$2:A655,A655)=1,"New","Repeat")</f>
        <v>Repeat</v>
      </c>
      <c r="K655" s="37">
        <f ca="1">IFERROR(__xludf.DUMMYFUNCTION("IF(I655=""4+"",
   COUNTUNIQUE(FILTER(A:A, I:I&gt;=4)),
   COUNTUNIQUE(FILTER(A:A, I:I=I655))
)"),37)</f>
        <v>37</v>
      </c>
      <c r="L655" s="36"/>
      <c r="M655" s="36"/>
      <c r="N655" s="36"/>
    </row>
    <row r="656" spans="1:14" ht="15" x14ac:dyDescent="0.25">
      <c r="A656" s="33" t="s">
        <v>234</v>
      </c>
      <c r="B656" s="34">
        <v>45893</v>
      </c>
      <c r="C656" s="35" t="str">
        <f t="shared" si="21"/>
        <v>08-2025</v>
      </c>
      <c r="D656" s="36" t="s">
        <v>14</v>
      </c>
      <c r="E656" s="36" t="s">
        <v>32</v>
      </c>
      <c r="F656" s="37">
        <v>233.51</v>
      </c>
      <c r="G656" s="36" t="s">
        <v>30</v>
      </c>
      <c r="H656" s="37">
        <f t="shared" si="1"/>
        <v>1</v>
      </c>
      <c r="I656" s="37">
        <f t="shared" si="22"/>
        <v>3</v>
      </c>
      <c r="J656" s="37" t="str">
        <f>IF(COUNTIF($A$2:A656,A656)=1,"New","Repeat")</f>
        <v>Repeat</v>
      </c>
      <c r="K656" s="37">
        <f ca="1">IFERROR(__xludf.DUMMYFUNCTION("IF(I656=""4+"",
   COUNTUNIQUE(FILTER(A:A, I:I&gt;=4)),
   COUNTUNIQUE(FILTER(A:A, I:I=I656))
)"),42)</f>
        <v>42</v>
      </c>
      <c r="L656" s="36"/>
      <c r="M656" s="36"/>
      <c r="N656" s="36"/>
    </row>
    <row r="657" spans="1:14" ht="15" x14ac:dyDescent="0.25">
      <c r="A657" s="33" t="s">
        <v>150</v>
      </c>
      <c r="B657" s="34">
        <v>45816</v>
      </c>
      <c r="C657" s="35" t="str">
        <f t="shared" si="21"/>
        <v>06-2025</v>
      </c>
      <c r="D657" s="36" t="s">
        <v>18</v>
      </c>
      <c r="E657" s="36" t="s">
        <v>65</v>
      </c>
      <c r="F657" s="37">
        <v>78.42</v>
      </c>
      <c r="G657" s="36" t="s">
        <v>30</v>
      </c>
      <c r="H657" s="37">
        <f t="shared" si="1"/>
        <v>1</v>
      </c>
      <c r="I657" s="37">
        <f t="shared" si="22"/>
        <v>9</v>
      </c>
      <c r="J657" s="37" t="str">
        <f>IF(COUNTIF($A$2:A657,A657)=1,"New","Repeat")</f>
        <v>Repeat</v>
      </c>
      <c r="K657" s="37">
        <f ca="1">IFERROR(__xludf.DUMMYFUNCTION("IF(I657=""4+"",
   COUNTUNIQUE(FILTER(A:A, I:I&gt;=4)),
   COUNTUNIQUE(FILTER(A:A, I:I=I657))
)"),2)</f>
        <v>2</v>
      </c>
      <c r="L657" s="36"/>
      <c r="M657" s="36"/>
      <c r="N657" s="36"/>
    </row>
    <row r="658" spans="1:14" ht="15" x14ac:dyDescent="0.25">
      <c r="A658" s="33" t="s">
        <v>135</v>
      </c>
      <c r="B658" s="34">
        <v>45968</v>
      </c>
      <c r="C658" s="35" t="str">
        <f t="shared" si="21"/>
        <v>11-2025</v>
      </c>
      <c r="D658" s="36" t="s">
        <v>35</v>
      </c>
      <c r="E658" s="36" t="s">
        <v>54</v>
      </c>
      <c r="F658" s="37">
        <v>21.07</v>
      </c>
      <c r="G658" s="36" t="s">
        <v>70</v>
      </c>
      <c r="H658" s="37">
        <f t="shared" si="1"/>
        <v>1</v>
      </c>
      <c r="I658" s="37">
        <f t="shared" si="22"/>
        <v>4</v>
      </c>
      <c r="J658" s="37" t="str">
        <f>IF(COUNTIF($A$2:A658,A658)=1,"New","Repeat")</f>
        <v>Repeat</v>
      </c>
      <c r="K658" s="37">
        <f ca="1">IFERROR(__xludf.DUMMYFUNCTION("IF(I658=""4+"",
   COUNTUNIQUE(FILTER(A:A, I:I&gt;=4)),
   COUNTUNIQUE(FILTER(A:A, I:I=I658))
)"),32)</f>
        <v>32</v>
      </c>
      <c r="L658" s="36"/>
      <c r="M658" s="36"/>
      <c r="N658" s="36"/>
    </row>
    <row r="659" spans="1:14" ht="15" x14ac:dyDescent="0.25">
      <c r="A659" s="33" t="s">
        <v>31</v>
      </c>
      <c r="B659" s="39">
        <v>45949</v>
      </c>
      <c r="C659" s="35" t="str">
        <f t="shared" si="21"/>
        <v>10-2025</v>
      </c>
      <c r="D659" s="36" t="s">
        <v>14</v>
      </c>
      <c r="E659" s="36" t="s">
        <v>96</v>
      </c>
      <c r="F659" s="37">
        <v>394.29</v>
      </c>
      <c r="G659" s="36" t="s">
        <v>70</v>
      </c>
      <c r="H659" s="37">
        <f t="shared" si="1"/>
        <v>1</v>
      </c>
      <c r="I659" s="37">
        <f t="shared" si="22"/>
        <v>5</v>
      </c>
      <c r="J659" s="37" t="str">
        <f>IF(COUNTIF($A$2:A659,A659)=1,"New","Repeat")</f>
        <v>Repeat</v>
      </c>
      <c r="K659" s="37">
        <f ca="1">IFERROR(__xludf.DUMMYFUNCTION("IF(I659=""4+"",
   COUNTUNIQUE(FILTER(A:A, I:I&gt;=4)),
   COUNTUNIQUE(FILTER(A:A, I:I=I659))
)"),34)</f>
        <v>34</v>
      </c>
      <c r="L659" s="36"/>
      <c r="M659" s="36"/>
      <c r="N659" s="36"/>
    </row>
    <row r="660" spans="1:14" ht="15" x14ac:dyDescent="0.25">
      <c r="A660" s="33" t="s">
        <v>46</v>
      </c>
      <c r="B660" s="34">
        <v>45883</v>
      </c>
      <c r="C660" s="35" t="str">
        <f t="shared" si="21"/>
        <v>08-2025</v>
      </c>
      <c r="D660" s="36" t="s">
        <v>51</v>
      </c>
      <c r="E660" s="36" t="s">
        <v>52</v>
      </c>
      <c r="F660" s="37">
        <v>357.63</v>
      </c>
      <c r="G660" s="36" t="s">
        <v>37</v>
      </c>
      <c r="H660" s="37">
        <f t="shared" si="1"/>
        <v>1</v>
      </c>
      <c r="I660" s="37">
        <f t="shared" si="22"/>
        <v>4</v>
      </c>
      <c r="J660" s="37" t="str">
        <f>IF(COUNTIF($A$2:A660,A660)=1,"New","Repeat")</f>
        <v>Repeat</v>
      </c>
      <c r="K660" s="37">
        <f ca="1">IFERROR(__xludf.DUMMYFUNCTION("IF(I660=""4+"",
   COUNTUNIQUE(FILTER(A:A, I:I&gt;=4)),
   COUNTUNIQUE(FILTER(A:A, I:I=I660))
)"),32)</f>
        <v>32</v>
      </c>
      <c r="L660" s="36"/>
      <c r="M660" s="36"/>
      <c r="N660" s="36"/>
    </row>
    <row r="661" spans="1:14" ht="15" x14ac:dyDescent="0.25">
      <c r="A661" s="33" t="s">
        <v>199</v>
      </c>
      <c r="B661" s="34">
        <v>45718</v>
      </c>
      <c r="C661" s="35" t="str">
        <f t="shared" si="21"/>
        <v>03-2025</v>
      </c>
      <c r="D661" s="36" t="s">
        <v>35</v>
      </c>
      <c r="E661" s="36" t="s">
        <v>58</v>
      </c>
      <c r="F661" s="37">
        <v>69.98</v>
      </c>
      <c r="G661" s="36" t="s">
        <v>33</v>
      </c>
      <c r="H661" s="37">
        <f t="shared" si="1"/>
        <v>1</v>
      </c>
      <c r="I661" s="37">
        <f t="shared" si="22"/>
        <v>4</v>
      </c>
      <c r="J661" s="37" t="str">
        <f>IF(COUNTIF($A$2:A661,A661)=1,"New","Repeat")</f>
        <v>Repeat</v>
      </c>
      <c r="K661" s="37">
        <f ca="1">IFERROR(__xludf.DUMMYFUNCTION("IF(I661=""4+"",
   COUNTUNIQUE(FILTER(A:A, I:I&gt;=4)),
   COUNTUNIQUE(FILTER(A:A, I:I=I661))
)"),32)</f>
        <v>32</v>
      </c>
      <c r="L661" s="36"/>
      <c r="M661" s="36"/>
      <c r="N661" s="36"/>
    </row>
    <row r="662" spans="1:14" ht="15" x14ac:dyDescent="0.25">
      <c r="A662" s="33" t="s">
        <v>133</v>
      </c>
      <c r="B662" s="39">
        <v>45988</v>
      </c>
      <c r="C662" s="35" t="str">
        <f t="shared" si="21"/>
        <v>11-2025</v>
      </c>
      <c r="D662" s="36" t="s">
        <v>51</v>
      </c>
      <c r="E662" s="36" t="s">
        <v>101</v>
      </c>
      <c r="F662" s="37">
        <v>84.05</v>
      </c>
      <c r="G662" s="36" t="s">
        <v>37</v>
      </c>
      <c r="H662" s="37">
        <f t="shared" si="1"/>
        <v>1</v>
      </c>
      <c r="I662" s="37">
        <f t="shared" si="22"/>
        <v>4</v>
      </c>
      <c r="J662" s="37" t="str">
        <f>IF(COUNTIF($A$2:A662,A662)=1,"New","Repeat")</f>
        <v>Repeat</v>
      </c>
      <c r="K662" s="37">
        <f ca="1">IFERROR(__xludf.DUMMYFUNCTION("IF(I662=""4+"",
   COUNTUNIQUE(FILTER(A:A, I:I&gt;=4)),
   COUNTUNIQUE(FILTER(A:A, I:I=I662))
)"),32)</f>
        <v>32</v>
      </c>
      <c r="L662" s="36"/>
      <c r="M662" s="36"/>
      <c r="N662" s="36"/>
    </row>
    <row r="663" spans="1:14" ht="15" x14ac:dyDescent="0.25">
      <c r="A663" s="33" t="s">
        <v>202</v>
      </c>
      <c r="B663" s="34">
        <v>46034</v>
      </c>
      <c r="C663" s="35" t="str">
        <f t="shared" si="21"/>
        <v>01-2026</v>
      </c>
      <c r="D663" s="36" t="s">
        <v>51</v>
      </c>
      <c r="E663" s="36" t="s">
        <v>52</v>
      </c>
      <c r="F663" s="37">
        <v>93.21</v>
      </c>
      <c r="G663" s="36" t="s">
        <v>30</v>
      </c>
      <c r="H663" s="37">
        <f t="shared" si="1"/>
        <v>1</v>
      </c>
      <c r="I663" s="37">
        <f t="shared" si="22"/>
        <v>4</v>
      </c>
      <c r="J663" s="37" t="str">
        <f>IF(COUNTIF($A$2:A663,A663)=1,"New","Repeat")</f>
        <v>Repeat</v>
      </c>
      <c r="K663" s="37">
        <f ca="1">IFERROR(__xludf.DUMMYFUNCTION("IF(I663=""4+"",
   COUNTUNIQUE(FILTER(A:A, I:I&gt;=4)),
   COUNTUNIQUE(FILTER(A:A, I:I=I663))
)"),32)</f>
        <v>32</v>
      </c>
      <c r="L663" s="36"/>
      <c r="M663" s="36"/>
      <c r="N663" s="36"/>
    </row>
    <row r="664" spans="1:14" ht="15" x14ac:dyDescent="0.25">
      <c r="A664" s="33" t="s">
        <v>189</v>
      </c>
      <c r="B664" s="39">
        <v>46006</v>
      </c>
      <c r="C664" s="35" t="str">
        <f t="shared" si="21"/>
        <v>12-2025</v>
      </c>
      <c r="D664" s="36" t="s">
        <v>35</v>
      </c>
      <c r="E664" s="36" t="s">
        <v>58</v>
      </c>
      <c r="F664" s="37">
        <v>71.3</v>
      </c>
      <c r="G664" s="36" t="s">
        <v>22</v>
      </c>
      <c r="H664" s="37">
        <f t="shared" si="1"/>
        <v>1</v>
      </c>
      <c r="I664" s="37">
        <f t="shared" si="22"/>
        <v>4</v>
      </c>
      <c r="J664" s="37" t="str">
        <f>IF(COUNTIF($A$2:A664,A664)=1,"New","Repeat")</f>
        <v>Repeat</v>
      </c>
      <c r="K664" s="37">
        <f ca="1">IFERROR(__xludf.DUMMYFUNCTION("IF(I664=""4+"",
   COUNTUNIQUE(FILTER(A:A, I:I&gt;=4)),
   COUNTUNIQUE(FILTER(A:A, I:I=I664))
)"),32)</f>
        <v>32</v>
      </c>
      <c r="L664" s="36"/>
      <c r="M664" s="36"/>
      <c r="N664" s="36"/>
    </row>
    <row r="665" spans="1:14" ht="15" x14ac:dyDescent="0.25">
      <c r="A665" s="33" t="s">
        <v>140</v>
      </c>
      <c r="B665" s="34">
        <v>45734</v>
      </c>
      <c r="C665" s="35" t="str">
        <f t="shared" si="21"/>
        <v>03-2025</v>
      </c>
      <c r="D665" s="36" t="s">
        <v>18</v>
      </c>
      <c r="E665" s="36" t="s">
        <v>21</v>
      </c>
      <c r="F665" s="37">
        <v>322.27</v>
      </c>
      <c r="G665" s="36" t="s">
        <v>33</v>
      </c>
      <c r="H665" s="37">
        <f t="shared" si="1"/>
        <v>1</v>
      </c>
      <c r="I665" s="37">
        <f t="shared" si="22"/>
        <v>6</v>
      </c>
      <c r="J665" s="37" t="str">
        <f>IF(COUNTIF($A$2:A665,A665)=1,"New","Repeat")</f>
        <v>Repeat</v>
      </c>
      <c r="K665" s="37">
        <f ca="1">IFERROR(__xludf.DUMMYFUNCTION("IF(I665=""4+"",
   COUNTUNIQUE(FILTER(A:A, I:I&gt;=4)),
   COUNTUNIQUE(FILTER(A:A, I:I=I665))
)"),19)</f>
        <v>19</v>
      </c>
      <c r="L665" s="36"/>
      <c r="M665" s="36"/>
      <c r="N665" s="36"/>
    </row>
    <row r="666" spans="1:14" ht="15" x14ac:dyDescent="0.25">
      <c r="A666" s="33" t="s">
        <v>123</v>
      </c>
      <c r="B666" s="34">
        <v>45801</v>
      </c>
      <c r="C666" s="35" t="str">
        <f t="shared" si="21"/>
        <v>05-2025</v>
      </c>
      <c r="D666" s="36" t="s">
        <v>35</v>
      </c>
      <c r="E666" s="36" t="s">
        <v>58</v>
      </c>
      <c r="F666" s="37">
        <v>255.15</v>
      </c>
      <c r="G666" s="36" t="s">
        <v>16</v>
      </c>
      <c r="H666" s="37">
        <f t="shared" si="1"/>
        <v>1</v>
      </c>
      <c r="I666" s="37">
        <f t="shared" si="22"/>
        <v>4</v>
      </c>
      <c r="J666" s="37" t="str">
        <f>IF(COUNTIF($A$2:A666,A666)=1,"New","Repeat")</f>
        <v>Repeat</v>
      </c>
      <c r="K666" s="37">
        <f ca="1">IFERROR(__xludf.DUMMYFUNCTION("IF(I666=""4+"",
   COUNTUNIQUE(FILTER(A:A, I:I&gt;=4)),
   COUNTUNIQUE(FILTER(A:A, I:I=I666))
)"),32)</f>
        <v>32</v>
      </c>
      <c r="L666" s="36"/>
      <c r="M666" s="36"/>
      <c r="N666" s="36"/>
    </row>
    <row r="667" spans="1:14" ht="15" x14ac:dyDescent="0.25">
      <c r="A667" s="33" t="s">
        <v>231</v>
      </c>
      <c r="B667" s="34">
        <v>45965</v>
      </c>
      <c r="C667" s="35" t="str">
        <f t="shared" si="21"/>
        <v>11-2025</v>
      </c>
      <c r="D667" s="36" t="s">
        <v>14</v>
      </c>
      <c r="E667" s="36" t="s">
        <v>96</v>
      </c>
      <c r="F667" s="37">
        <v>138.85</v>
      </c>
      <c r="G667" s="36" t="s">
        <v>37</v>
      </c>
      <c r="H667" s="37">
        <f t="shared" si="1"/>
        <v>1</v>
      </c>
      <c r="I667" s="37">
        <f t="shared" si="22"/>
        <v>2</v>
      </c>
      <c r="J667" s="37" t="str">
        <f>IF(COUNTIF($A$2:A667,A667)=1,"New","Repeat")</f>
        <v>Repeat</v>
      </c>
      <c r="K667" s="37">
        <f ca="1">IFERROR(__xludf.DUMMYFUNCTION("IF(I667=""4+"",
   COUNTUNIQUE(FILTER(A:A, I:I&gt;=4)),
   COUNTUNIQUE(FILTER(A:A, I:I=I667))
)"),37)</f>
        <v>37</v>
      </c>
      <c r="L667" s="36"/>
      <c r="M667" s="36"/>
      <c r="N667" s="36"/>
    </row>
    <row r="668" spans="1:14" ht="15" x14ac:dyDescent="0.25">
      <c r="A668" s="33" t="s">
        <v>213</v>
      </c>
      <c r="B668" s="34">
        <v>45997</v>
      </c>
      <c r="C668" s="35" t="str">
        <f t="shared" si="21"/>
        <v>12-2025</v>
      </c>
      <c r="D668" s="36" t="s">
        <v>28</v>
      </c>
      <c r="E668" s="36" t="s">
        <v>29</v>
      </c>
      <c r="F668" s="37">
        <v>60.22</v>
      </c>
      <c r="G668" s="36" t="s">
        <v>25</v>
      </c>
      <c r="H668" s="37">
        <f t="shared" si="1"/>
        <v>1</v>
      </c>
      <c r="I668" s="37">
        <f t="shared" si="22"/>
        <v>3</v>
      </c>
      <c r="J668" s="37" t="str">
        <f>IF(COUNTIF($A$2:A668,A668)=1,"New","Repeat")</f>
        <v>Repeat</v>
      </c>
      <c r="K668" s="37">
        <f ca="1">IFERROR(__xludf.DUMMYFUNCTION("IF(I668=""4+"",
   COUNTUNIQUE(FILTER(A:A, I:I&gt;=4)),
   COUNTUNIQUE(FILTER(A:A, I:I=I668))
)"),42)</f>
        <v>42</v>
      </c>
      <c r="L668" s="36"/>
      <c r="M668" s="36"/>
      <c r="N668" s="36"/>
    </row>
    <row r="669" spans="1:14" ht="15" x14ac:dyDescent="0.25">
      <c r="A669" s="33" t="s">
        <v>197</v>
      </c>
      <c r="B669" s="39">
        <v>45959</v>
      </c>
      <c r="C669" s="35" t="str">
        <f t="shared" si="21"/>
        <v>10-2025</v>
      </c>
      <c r="D669" s="36" t="s">
        <v>28</v>
      </c>
      <c r="E669" s="36" t="s">
        <v>29</v>
      </c>
      <c r="F669" s="37">
        <v>423.45</v>
      </c>
      <c r="G669" s="36" t="s">
        <v>37</v>
      </c>
      <c r="H669" s="37">
        <f t="shared" si="1"/>
        <v>1</v>
      </c>
      <c r="I669" s="37">
        <f t="shared" si="22"/>
        <v>5</v>
      </c>
      <c r="J669" s="37" t="str">
        <f>IF(COUNTIF($A$2:A669,A669)=1,"New","Repeat")</f>
        <v>Repeat</v>
      </c>
      <c r="K669" s="37">
        <f ca="1">IFERROR(__xludf.DUMMYFUNCTION("IF(I669=""4+"",
   COUNTUNIQUE(FILTER(A:A, I:I&gt;=4)),
   COUNTUNIQUE(FILTER(A:A, I:I=I669))
)"),34)</f>
        <v>34</v>
      </c>
      <c r="L669" s="36"/>
      <c r="M669" s="36"/>
      <c r="N669" s="36"/>
    </row>
    <row r="670" spans="1:14" ht="15" x14ac:dyDescent="0.25">
      <c r="A670" s="33" t="s">
        <v>190</v>
      </c>
      <c r="B670" s="39">
        <v>45976</v>
      </c>
      <c r="C670" s="35" t="str">
        <f t="shared" si="21"/>
        <v>11-2025</v>
      </c>
      <c r="D670" s="36" t="s">
        <v>18</v>
      </c>
      <c r="E670" s="36" t="s">
        <v>24</v>
      </c>
      <c r="F670" s="37">
        <v>232.77</v>
      </c>
      <c r="G670" s="36" t="s">
        <v>70</v>
      </c>
      <c r="H670" s="37">
        <f t="shared" si="1"/>
        <v>1</v>
      </c>
      <c r="I670" s="37">
        <f t="shared" si="22"/>
        <v>3</v>
      </c>
      <c r="J670" s="37" t="str">
        <f>IF(COUNTIF($A$2:A670,A670)=1,"New","Repeat")</f>
        <v>Repeat</v>
      </c>
      <c r="K670" s="37">
        <f ca="1">IFERROR(__xludf.DUMMYFUNCTION("IF(I670=""4+"",
   COUNTUNIQUE(FILTER(A:A, I:I&gt;=4)),
   COUNTUNIQUE(FILTER(A:A, I:I=I670))
)"),42)</f>
        <v>42</v>
      </c>
      <c r="L670" s="36"/>
      <c r="M670" s="36"/>
      <c r="N670" s="36"/>
    </row>
    <row r="671" spans="1:14" ht="15" x14ac:dyDescent="0.25">
      <c r="A671" s="33" t="s">
        <v>239</v>
      </c>
      <c r="B671" s="34">
        <v>45830</v>
      </c>
      <c r="C671" s="35" t="str">
        <f t="shared" si="21"/>
        <v>06-2025</v>
      </c>
      <c r="D671" s="36" t="s">
        <v>51</v>
      </c>
      <c r="E671" s="36" t="s">
        <v>52</v>
      </c>
      <c r="F671" s="37">
        <v>218.82</v>
      </c>
      <c r="G671" s="36" t="s">
        <v>30</v>
      </c>
      <c r="H671" s="37">
        <f t="shared" si="1"/>
        <v>1</v>
      </c>
      <c r="I671" s="37">
        <f t="shared" si="22"/>
        <v>3</v>
      </c>
      <c r="J671" s="37" t="str">
        <f>IF(COUNTIF($A$2:A671,A671)=1,"New","Repeat")</f>
        <v>Repeat</v>
      </c>
      <c r="K671" s="37">
        <f ca="1">IFERROR(__xludf.DUMMYFUNCTION("IF(I671=""4+"",
   COUNTUNIQUE(FILTER(A:A, I:I&gt;=4)),
   COUNTUNIQUE(FILTER(A:A, I:I=I671))
)"),42)</f>
        <v>42</v>
      </c>
      <c r="L671" s="36"/>
      <c r="M671" s="36"/>
      <c r="N671" s="36"/>
    </row>
    <row r="672" spans="1:14" ht="15" x14ac:dyDescent="0.25">
      <c r="A672" s="33" t="s">
        <v>116</v>
      </c>
      <c r="B672" s="34">
        <v>45966</v>
      </c>
      <c r="C672" s="35" t="str">
        <f t="shared" si="21"/>
        <v>11-2025</v>
      </c>
      <c r="D672" s="36" t="s">
        <v>14</v>
      </c>
      <c r="E672" s="36" t="s">
        <v>15</v>
      </c>
      <c r="F672" s="37">
        <v>270.98</v>
      </c>
      <c r="G672" s="36" t="s">
        <v>33</v>
      </c>
      <c r="H672" s="37">
        <f t="shared" si="1"/>
        <v>1</v>
      </c>
      <c r="I672" s="37">
        <f t="shared" si="22"/>
        <v>7</v>
      </c>
      <c r="J672" s="37" t="str">
        <f>IF(COUNTIF($A$2:A672,A672)=1,"New","Repeat")</f>
        <v>Repeat</v>
      </c>
      <c r="K672" s="37">
        <f ca="1">IFERROR(__xludf.DUMMYFUNCTION("IF(I672=""4+"",
   COUNTUNIQUE(FILTER(A:A, I:I&gt;=4)),
   COUNTUNIQUE(FILTER(A:A, I:I=I672))
)"),4)</f>
        <v>4</v>
      </c>
      <c r="L672" s="36"/>
      <c r="M672" s="36"/>
      <c r="N672" s="36"/>
    </row>
    <row r="673" spans="1:14" ht="15" x14ac:dyDescent="0.25">
      <c r="A673" s="33" t="s">
        <v>132</v>
      </c>
      <c r="B673" s="34">
        <v>45964</v>
      </c>
      <c r="C673" s="35" t="str">
        <f t="shared" si="21"/>
        <v>11-2025</v>
      </c>
      <c r="D673" s="36" t="s">
        <v>18</v>
      </c>
      <c r="E673" s="36" t="s">
        <v>19</v>
      </c>
      <c r="F673" s="37">
        <v>456.12</v>
      </c>
      <c r="G673" s="36" t="s">
        <v>22</v>
      </c>
      <c r="H673" s="37">
        <f t="shared" si="1"/>
        <v>1</v>
      </c>
      <c r="I673" s="37">
        <f t="shared" si="22"/>
        <v>4</v>
      </c>
      <c r="J673" s="37" t="str">
        <f>IF(COUNTIF($A$2:A673,A673)=1,"New","Repeat")</f>
        <v>Repeat</v>
      </c>
      <c r="K673" s="37">
        <f ca="1">IFERROR(__xludf.DUMMYFUNCTION("IF(I673=""4+"",
   COUNTUNIQUE(FILTER(A:A, I:I&gt;=4)),
   COUNTUNIQUE(FILTER(A:A, I:I=I673))
)"),32)</f>
        <v>32</v>
      </c>
      <c r="L673" s="36"/>
      <c r="M673" s="36"/>
      <c r="N673" s="36"/>
    </row>
    <row r="674" spans="1:14" ht="15" x14ac:dyDescent="0.25">
      <c r="A674" s="33" t="s">
        <v>216</v>
      </c>
      <c r="B674" s="34">
        <v>46069</v>
      </c>
      <c r="C674" s="35" t="str">
        <f t="shared" si="21"/>
        <v>02-2026</v>
      </c>
      <c r="D674" s="36" t="s">
        <v>35</v>
      </c>
      <c r="E674" s="36" t="s">
        <v>54</v>
      </c>
      <c r="F674" s="37">
        <v>274.74</v>
      </c>
      <c r="G674" s="36" t="s">
        <v>30</v>
      </c>
      <c r="H674" s="37">
        <f t="shared" si="1"/>
        <v>1</v>
      </c>
      <c r="I674" s="37">
        <f t="shared" si="22"/>
        <v>6</v>
      </c>
      <c r="J674" s="37" t="str">
        <f>IF(COUNTIF($A$2:A674,A674)=1,"New","Repeat")</f>
        <v>Repeat</v>
      </c>
      <c r="K674" s="37">
        <f ca="1">IFERROR(__xludf.DUMMYFUNCTION("IF(I674=""4+"",
   COUNTUNIQUE(FILTER(A:A, I:I&gt;=4)),
   COUNTUNIQUE(FILTER(A:A, I:I=I674))
)"),19)</f>
        <v>19</v>
      </c>
      <c r="L674" s="36"/>
      <c r="M674" s="36"/>
      <c r="N674" s="36"/>
    </row>
    <row r="675" spans="1:14" ht="15" x14ac:dyDescent="0.25">
      <c r="A675" s="33" t="s">
        <v>156</v>
      </c>
      <c r="B675" s="34">
        <v>45742</v>
      </c>
      <c r="C675" s="35" t="str">
        <f t="shared" si="21"/>
        <v>03-2025</v>
      </c>
      <c r="D675" s="36" t="s">
        <v>18</v>
      </c>
      <c r="E675" s="36" t="s">
        <v>21</v>
      </c>
      <c r="F675" s="37">
        <v>373.19</v>
      </c>
      <c r="G675" s="36" t="s">
        <v>22</v>
      </c>
      <c r="H675" s="37">
        <f t="shared" si="1"/>
        <v>1</v>
      </c>
      <c r="I675" s="37">
        <f t="shared" si="22"/>
        <v>3</v>
      </c>
      <c r="J675" s="37" t="str">
        <f>IF(COUNTIF($A$2:A675,A675)=1,"New","Repeat")</f>
        <v>Repeat</v>
      </c>
      <c r="K675" s="37">
        <f ca="1">IFERROR(__xludf.DUMMYFUNCTION("IF(I675=""4+"",
   COUNTUNIQUE(FILTER(A:A, I:I&gt;=4)),
   COUNTUNIQUE(FILTER(A:A, I:I=I675))
)"),42)</f>
        <v>42</v>
      </c>
      <c r="L675" s="36"/>
      <c r="M675" s="36"/>
      <c r="N675" s="36"/>
    </row>
    <row r="676" spans="1:14" ht="15" x14ac:dyDescent="0.25">
      <c r="A676" s="33" t="s">
        <v>97</v>
      </c>
      <c r="B676" s="34">
        <v>46032</v>
      </c>
      <c r="C676" s="35" t="str">
        <f t="shared" si="21"/>
        <v>01-2026</v>
      </c>
      <c r="D676" s="36" t="s">
        <v>28</v>
      </c>
      <c r="E676" s="36" t="s">
        <v>29</v>
      </c>
      <c r="F676" s="37">
        <v>225.81</v>
      </c>
      <c r="G676" s="36" t="s">
        <v>30</v>
      </c>
      <c r="H676" s="37">
        <f t="shared" si="1"/>
        <v>1</v>
      </c>
      <c r="I676" s="37">
        <f t="shared" si="22"/>
        <v>5</v>
      </c>
      <c r="J676" s="37" t="str">
        <f>IF(COUNTIF($A$2:A676,A676)=1,"New","Repeat")</f>
        <v>Repeat</v>
      </c>
      <c r="K676" s="37">
        <f ca="1">IFERROR(__xludf.DUMMYFUNCTION("IF(I676=""4+"",
   COUNTUNIQUE(FILTER(A:A, I:I&gt;=4)),
   COUNTUNIQUE(FILTER(A:A, I:I=I676))
)"),34)</f>
        <v>34</v>
      </c>
      <c r="L676" s="36"/>
      <c r="M676" s="36"/>
      <c r="N676" s="36"/>
    </row>
    <row r="677" spans="1:14" ht="15" x14ac:dyDescent="0.25">
      <c r="A677" s="33" t="s">
        <v>245</v>
      </c>
      <c r="B677" s="34">
        <v>45814</v>
      </c>
      <c r="C677" s="35" t="str">
        <f t="shared" si="21"/>
        <v>06-2025</v>
      </c>
      <c r="D677" s="36" t="s">
        <v>35</v>
      </c>
      <c r="E677" s="36" t="s">
        <v>93</v>
      </c>
      <c r="F677" s="37">
        <v>286.98</v>
      </c>
      <c r="G677" s="36" t="s">
        <v>30</v>
      </c>
      <c r="H677" s="37">
        <f t="shared" si="1"/>
        <v>1</v>
      </c>
      <c r="I677" s="37">
        <f t="shared" si="22"/>
        <v>2</v>
      </c>
      <c r="J677" s="37" t="str">
        <f>IF(COUNTIF($A$2:A677,A677)=1,"New","Repeat")</f>
        <v>New</v>
      </c>
      <c r="K677" s="37">
        <f ca="1">IFERROR(__xludf.DUMMYFUNCTION("IF(I677=""4+"",
   COUNTUNIQUE(FILTER(A:A, I:I&gt;=4)),
   COUNTUNIQUE(FILTER(A:A, I:I=I677))
)"),37)</f>
        <v>37</v>
      </c>
      <c r="L677" s="36"/>
      <c r="M677" s="36"/>
      <c r="N677" s="36"/>
    </row>
    <row r="678" spans="1:14" ht="15" x14ac:dyDescent="0.25">
      <c r="A678" s="33" t="s">
        <v>234</v>
      </c>
      <c r="B678" s="34">
        <v>46064</v>
      </c>
      <c r="C678" s="35" t="str">
        <f t="shared" si="21"/>
        <v>02-2026</v>
      </c>
      <c r="D678" s="36" t="s">
        <v>14</v>
      </c>
      <c r="E678" s="36" t="s">
        <v>96</v>
      </c>
      <c r="F678" s="37">
        <v>307.01</v>
      </c>
      <c r="G678" s="36" t="s">
        <v>16</v>
      </c>
      <c r="H678" s="37">
        <f t="shared" si="1"/>
        <v>1</v>
      </c>
      <c r="I678" s="37">
        <f t="shared" si="22"/>
        <v>3</v>
      </c>
      <c r="J678" s="37" t="str">
        <f>IF(COUNTIF($A$2:A678,A678)=1,"New","Repeat")</f>
        <v>Repeat</v>
      </c>
      <c r="K678" s="37">
        <f ca="1">IFERROR(__xludf.DUMMYFUNCTION("IF(I678=""4+"",
   COUNTUNIQUE(FILTER(A:A, I:I&gt;=4)),
   COUNTUNIQUE(FILTER(A:A, I:I=I678))
)"),42)</f>
        <v>42</v>
      </c>
      <c r="L678" s="36"/>
      <c r="M678" s="36"/>
      <c r="N678" s="36"/>
    </row>
    <row r="679" spans="1:14" ht="15" x14ac:dyDescent="0.25">
      <c r="A679" s="33" t="s">
        <v>186</v>
      </c>
      <c r="B679" s="34">
        <v>45826</v>
      </c>
      <c r="C679" s="35" t="str">
        <f t="shared" si="21"/>
        <v>06-2025</v>
      </c>
      <c r="D679" s="36" t="s">
        <v>14</v>
      </c>
      <c r="E679" s="36" t="s">
        <v>59</v>
      </c>
      <c r="F679" s="37">
        <v>390.32</v>
      </c>
      <c r="G679" s="36" t="s">
        <v>37</v>
      </c>
      <c r="H679" s="37">
        <f t="shared" si="1"/>
        <v>1</v>
      </c>
      <c r="I679" s="37">
        <f t="shared" si="22"/>
        <v>4</v>
      </c>
      <c r="J679" s="37" t="str">
        <f>IF(COUNTIF($A$2:A679,A679)=1,"New","Repeat")</f>
        <v>Repeat</v>
      </c>
      <c r="K679" s="37">
        <f ca="1">IFERROR(__xludf.DUMMYFUNCTION("IF(I679=""4+"",
   COUNTUNIQUE(FILTER(A:A, I:I&gt;=4)),
   COUNTUNIQUE(FILTER(A:A, I:I=I679))
)"),32)</f>
        <v>32</v>
      </c>
      <c r="L679" s="36"/>
      <c r="M679" s="36"/>
      <c r="N679" s="36"/>
    </row>
    <row r="680" spans="1:14" ht="15" x14ac:dyDescent="0.25">
      <c r="A680" s="33" t="s">
        <v>175</v>
      </c>
      <c r="B680" s="34">
        <v>45802</v>
      </c>
      <c r="C680" s="35" t="str">
        <f t="shared" si="21"/>
        <v>05-2025</v>
      </c>
      <c r="D680" s="36" t="s">
        <v>51</v>
      </c>
      <c r="E680" s="36" t="s">
        <v>52</v>
      </c>
      <c r="F680" s="37">
        <v>128.94</v>
      </c>
      <c r="G680" s="36" t="s">
        <v>33</v>
      </c>
      <c r="H680" s="37">
        <f t="shared" si="1"/>
        <v>1</v>
      </c>
      <c r="I680" s="37">
        <f t="shared" si="22"/>
        <v>4</v>
      </c>
      <c r="J680" s="37" t="str">
        <f>IF(COUNTIF($A$2:A680,A680)=1,"New","Repeat")</f>
        <v>Repeat</v>
      </c>
      <c r="K680" s="37">
        <f ca="1">IFERROR(__xludf.DUMMYFUNCTION("IF(I680=""4+"",
   COUNTUNIQUE(FILTER(A:A, I:I&gt;=4)),
   COUNTUNIQUE(FILTER(A:A, I:I=I680))
)"),32)</f>
        <v>32</v>
      </c>
      <c r="L680" s="36"/>
      <c r="M680" s="36"/>
      <c r="N680" s="36"/>
    </row>
    <row r="681" spans="1:14" ht="15" x14ac:dyDescent="0.25">
      <c r="A681" s="33" t="s">
        <v>167</v>
      </c>
      <c r="B681" s="34">
        <v>45902</v>
      </c>
      <c r="C681" s="35" t="str">
        <f t="shared" si="21"/>
        <v>09-2025</v>
      </c>
      <c r="D681" s="36" t="s">
        <v>51</v>
      </c>
      <c r="E681" s="36" t="s">
        <v>145</v>
      </c>
      <c r="F681" s="37">
        <v>445.84</v>
      </c>
      <c r="G681" s="36" t="s">
        <v>16</v>
      </c>
      <c r="H681" s="37">
        <f t="shared" si="1"/>
        <v>1</v>
      </c>
      <c r="I681" s="37">
        <f t="shared" si="22"/>
        <v>5</v>
      </c>
      <c r="J681" s="37" t="str">
        <f>IF(COUNTIF($A$2:A681,A681)=1,"New","Repeat")</f>
        <v>Repeat</v>
      </c>
      <c r="K681" s="37">
        <f ca="1">IFERROR(__xludf.DUMMYFUNCTION("IF(I681=""4+"",
   COUNTUNIQUE(FILTER(A:A, I:I&gt;=4)),
   COUNTUNIQUE(FILTER(A:A, I:I=I681))
)"),34)</f>
        <v>34</v>
      </c>
      <c r="L681" s="36"/>
      <c r="M681" s="36"/>
      <c r="N681" s="36"/>
    </row>
    <row r="682" spans="1:14" ht="15" x14ac:dyDescent="0.25">
      <c r="A682" s="33" t="s">
        <v>63</v>
      </c>
      <c r="B682" s="34">
        <v>45902</v>
      </c>
      <c r="C682" s="35" t="str">
        <f t="shared" si="21"/>
        <v>09-2025</v>
      </c>
      <c r="D682" s="36" t="s">
        <v>18</v>
      </c>
      <c r="E682" s="36" t="s">
        <v>24</v>
      </c>
      <c r="F682" s="37">
        <v>363.79</v>
      </c>
      <c r="G682" s="36" t="s">
        <v>16</v>
      </c>
      <c r="H682" s="37">
        <f t="shared" si="1"/>
        <v>1</v>
      </c>
      <c r="I682" s="37">
        <f t="shared" si="22"/>
        <v>6</v>
      </c>
      <c r="J682" s="37" t="str">
        <f>IF(COUNTIF($A$2:A682,A682)=1,"New","Repeat")</f>
        <v>Repeat</v>
      </c>
      <c r="K682" s="37">
        <f ca="1">IFERROR(__xludf.DUMMYFUNCTION("IF(I682=""4+"",
   COUNTUNIQUE(FILTER(A:A, I:I&gt;=4)),
   COUNTUNIQUE(FILTER(A:A, I:I=I682))
)"),19)</f>
        <v>19</v>
      </c>
      <c r="L682" s="36"/>
      <c r="M682" s="36"/>
      <c r="N682" s="36"/>
    </row>
    <row r="683" spans="1:14" ht="15" x14ac:dyDescent="0.25">
      <c r="A683" s="33" t="s">
        <v>228</v>
      </c>
      <c r="B683" s="34">
        <v>46028</v>
      </c>
      <c r="C683" s="35" t="str">
        <f t="shared" si="21"/>
        <v>01-2026</v>
      </c>
      <c r="D683" s="36" t="s">
        <v>51</v>
      </c>
      <c r="E683" s="36" t="s">
        <v>72</v>
      </c>
      <c r="F683" s="37">
        <v>91.18</v>
      </c>
      <c r="G683" s="36" t="s">
        <v>70</v>
      </c>
      <c r="H683" s="37">
        <f t="shared" si="1"/>
        <v>1</v>
      </c>
      <c r="I683" s="37">
        <f t="shared" si="22"/>
        <v>2</v>
      </c>
      <c r="J683" s="37" t="str">
        <f>IF(COUNTIF($A$2:A683,A683)=1,"New","Repeat")</f>
        <v>Repeat</v>
      </c>
      <c r="K683" s="37">
        <f ca="1">IFERROR(__xludf.DUMMYFUNCTION("IF(I683=""4+"",
   COUNTUNIQUE(FILTER(A:A, I:I&gt;=4)),
   COUNTUNIQUE(FILTER(A:A, I:I=I683))
)"),37)</f>
        <v>37</v>
      </c>
      <c r="L683" s="36"/>
      <c r="M683" s="36"/>
      <c r="N683" s="36"/>
    </row>
    <row r="684" spans="1:14" ht="15" x14ac:dyDescent="0.25">
      <c r="A684" s="33" t="s">
        <v>98</v>
      </c>
      <c r="B684" s="34">
        <v>45876</v>
      </c>
      <c r="C684" s="35" t="str">
        <f t="shared" si="21"/>
        <v>08-2025</v>
      </c>
      <c r="D684" s="36" t="s">
        <v>14</v>
      </c>
      <c r="E684" s="36" t="s">
        <v>41</v>
      </c>
      <c r="F684" s="37">
        <v>459.62</v>
      </c>
      <c r="G684" s="36" t="s">
        <v>30</v>
      </c>
      <c r="H684" s="37">
        <f t="shared" si="1"/>
        <v>1</v>
      </c>
      <c r="I684" s="37">
        <f t="shared" si="22"/>
        <v>4</v>
      </c>
      <c r="J684" s="37" t="str">
        <f>IF(COUNTIF($A$2:A684,A684)=1,"New","Repeat")</f>
        <v>Repeat</v>
      </c>
      <c r="K684" s="37">
        <f ca="1">IFERROR(__xludf.DUMMYFUNCTION("IF(I684=""4+"",
   COUNTUNIQUE(FILTER(A:A, I:I&gt;=4)),
   COUNTUNIQUE(FILTER(A:A, I:I=I684))
)"),32)</f>
        <v>32</v>
      </c>
      <c r="L684" s="36"/>
      <c r="M684" s="36"/>
      <c r="N684" s="36"/>
    </row>
    <row r="685" spans="1:14" ht="15" x14ac:dyDescent="0.25">
      <c r="A685" s="33" t="s">
        <v>208</v>
      </c>
      <c r="B685" s="34">
        <v>45715</v>
      </c>
      <c r="C685" s="35" t="str">
        <f t="shared" si="21"/>
        <v>02-2025</v>
      </c>
      <c r="D685" s="36" t="s">
        <v>51</v>
      </c>
      <c r="E685" s="36" t="s">
        <v>101</v>
      </c>
      <c r="F685" s="37">
        <v>27.65</v>
      </c>
      <c r="G685" s="36" t="s">
        <v>30</v>
      </c>
      <c r="H685" s="37">
        <f t="shared" si="1"/>
        <v>1</v>
      </c>
      <c r="I685" s="37">
        <f t="shared" si="22"/>
        <v>3</v>
      </c>
      <c r="J685" s="37" t="str">
        <f>IF(COUNTIF($A$2:A685,A685)=1,"New","Repeat")</f>
        <v>Repeat</v>
      </c>
      <c r="K685" s="37">
        <f ca="1">IFERROR(__xludf.DUMMYFUNCTION("IF(I685=""4+"",
   COUNTUNIQUE(FILTER(A:A, I:I&gt;=4)),
   COUNTUNIQUE(FILTER(A:A, I:I=I685))
)"),42)</f>
        <v>42</v>
      </c>
      <c r="L685" s="36"/>
      <c r="M685" s="36"/>
      <c r="N685" s="36"/>
    </row>
    <row r="686" spans="1:14" ht="15" x14ac:dyDescent="0.25">
      <c r="A686" s="33" t="s">
        <v>159</v>
      </c>
      <c r="B686" s="34">
        <v>45721</v>
      </c>
      <c r="C686" s="35" t="str">
        <f t="shared" si="21"/>
        <v>03-2025</v>
      </c>
      <c r="D686" s="36" t="s">
        <v>14</v>
      </c>
      <c r="E686" s="36" t="s">
        <v>15</v>
      </c>
      <c r="F686" s="37">
        <v>70.81</v>
      </c>
      <c r="G686" s="36" t="s">
        <v>16</v>
      </c>
      <c r="H686" s="37">
        <f t="shared" si="1"/>
        <v>1</v>
      </c>
      <c r="I686" s="37">
        <f t="shared" si="22"/>
        <v>4</v>
      </c>
      <c r="J686" s="37" t="str">
        <f>IF(COUNTIF($A$2:A686,A686)=1,"New","Repeat")</f>
        <v>Repeat</v>
      </c>
      <c r="K686" s="37">
        <f ca="1">IFERROR(__xludf.DUMMYFUNCTION("IF(I686=""4+"",
   COUNTUNIQUE(FILTER(A:A, I:I&gt;=4)),
   COUNTUNIQUE(FILTER(A:A, I:I=I686))
)"),32)</f>
        <v>32</v>
      </c>
      <c r="L686" s="36"/>
      <c r="M686" s="36"/>
      <c r="N686" s="36"/>
    </row>
    <row r="687" spans="1:14" ht="15" x14ac:dyDescent="0.25">
      <c r="A687" s="33" t="s">
        <v>192</v>
      </c>
      <c r="B687" s="34">
        <v>45873</v>
      </c>
      <c r="C687" s="35" t="str">
        <f t="shared" si="21"/>
        <v>08-2025</v>
      </c>
      <c r="D687" s="36" t="s">
        <v>51</v>
      </c>
      <c r="E687" s="36" t="s">
        <v>72</v>
      </c>
      <c r="F687" s="37">
        <v>252.85</v>
      </c>
      <c r="G687" s="36" t="s">
        <v>33</v>
      </c>
      <c r="H687" s="37">
        <f t="shared" si="1"/>
        <v>1</v>
      </c>
      <c r="I687" s="37">
        <f t="shared" si="22"/>
        <v>5</v>
      </c>
      <c r="J687" s="37" t="str">
        <f>IF(COUNTIF($A$2:A687,A687)=1,"New","Repeat")</f>
        <v>Repeat</v>
      </c>
      <c r="K687" s="37">
        <f ca="1">IFERROR(__xludf.DUMMYFUNCTION("IF(I687=""4+"",
   COUNTUNIQUE(FILTER(A:A, I:I&gt;=4)),
   COUNTUNIQUE(FILTER(A:A, I:I=I687))
)"),34)</f>
        <v>34</v>
      </c>
      <c r="L687" s="36"/>
      <c r="M687" s="36"/>
      <c r="N687" s="36"/>
    </row>
    <row r="688" spans="1:14" ht="15" x14ac:dyDescent="0.25">
      <c r="A688" s="33" t="s">
        <v>166</v>
      </c>
      <c r="B688" s="34">
        <v>45879</v>
      </c>
      <c r="C688" s="35" t="str">
        <f t="shared" si="21"/>
        <v>08-2025</v>
      </c>
      <c r="D688" s="36" t="s">
        <v>18</v>
      </c>
      <c r="E688" s="36" t="s">
        <v>47</v>
      </c>
      <c r="F688" s="37">
        <v>240.17</v>
      </c>
      <c r="G688" s="36" t="s">
        <v>22</v>
      </c>
      <c r="H688" s="37">
        <f t="shared" si="1"/>
        <v>1</v>
      </c>
      <c r="I688" s="37">
        <f t="shared" si="22"/>
        <v>6</v>
      </c>
      <c r="J688" s="37" t="str">
        <f>IF(COUNTIF($A$2:A688,A688)=1,"New","Repeat")</f>
        <v>Repeat</v>
      </c>
      <c r="K688" s="37">
        <f ca="1">IFERROR(__xludf.DUMMYFUNCTION("IF(I688=""4+"",
   COUNTUNIQUE(FILTER(A:A, I:I&gt;=4)),
   COUNTUNIQUE(FILTER(A:A, I:I=I688))
)"),19)</f>
        <v>19</v>
      </c>
      <c r="L688" s="36"/>
      <c r="M688" s="36"/>
      <c r="N688" s="36"/>
    </row>
    <row r="689" spans="1:14" ht="15" x14ac:dyDescent="0.25">
      <c r="A689" s="33" t="s">
        <v>82</v>
      </c>
      <c r="B689" s="34">
        <v>45920</v>
      </c>
      <c r="C689" s="35" t="str">
        <f t="shared" si="21"/>
        <v>09-2025</v>
      </c>
      <c r="D689" s="36" t="s">
        <v>18</v>
      </c>
      <c r="E689" s="36" t="s">
        <v>47</v>
      </c>
      <c r="F689" s="37">
        <v>347.44</v>
      </c>
      <c r="G689" s="36" t="s">
        <v>22</v>
      </c>
      <c r="H689" s="37">
        <f t="shared" si="1"/>
        <v>1</v>
      </c>
      <c r="I689" s="37">
        <f t="shared" si="22"/>
        <v>5</v>
      </c>
      <c r="J689" s="37" t="str">
        <f>IF(COUNTIF($A$2:A689,A689)=1,"New","Repeat")</f>
        <v>Repeat</v>
      </c>
      <c r="K689" s="37">
        <f ca="1">IFERROR(__xludf.DUMMYFUNCTION("IF(I689=""4+"",
   COUNTUNIQUE(FILTER(A:A, I:I&gt;=4)),
   COUNTUNIQUE(FILTER(A:A, I:I=I689))
)"),34)</f>
        <v>34</v>
      </c>
      <c r="L689" s="36"/>
      <c r="M689" s="36"/>
      <c r="N689" s="36"/>
    </row>
    <row r="690" spans="1:14" ht="15" x14ac:dyDescent="0.25">
      <c r="A690" s="33" t="s">
        <v>200</v>
      </c>
      <c r="B690" s="39">
        <v>45961</v>
      </c>
      <c r="C690" s="35" t="str">
        <f t="shared" si="21"/>
        <v>10-2025</v>
      </c>
      <c r="D690" s="36" t="s">
        <v>35</v>
      </c>
      <c r="E690" s="36" t="s">
        <v>54</v>
      </c>
      <c r="F690" s="37">
        <v>87.38</v>
      </c>
      <c r="G690" s="36" t="s">
        <v>70</v>
      </c>
      <c r="H690" s="37">
        <f t="shared" si="1"/>
        <v>1</v>
      </c>
      <c r="I690" s="37">
        <f t="shared" si="22"/>
        <v>6</v>
      </c>
      <c r="J690" s="37" t="str">
        <f>IF(COUNTIF($A$2:A690,A690)=1,"New","Repeat")</f>
        <v>Repeat</v>
      </c>
      <c r="K690" s="37">
        <f ca="1">IFERROR(__xludf.DUMMYFUNCTION("IF(I690=""4+"",
   COUNTUNIQUE(FILTER(A:A, I:I&gt;=4)),
   COUNTUNIQUE(FILTER(A:A, I:I=I690))
)"),19)</f>
        <v>19</v>
      </c>
      <c r="L690" s="36"/>
      <c r="M690" s="36"/>
      <c r="N690" s="36"/>
    </row>
    <row r="691" spans="1:14" ht="15" x14ac:dyDescent="0.25">
      <c r="A691" s="33" t="s">
        <v>244</v>
      </c>
      <c r="B691" s="34">
        <v>46043</v>
      </c>
      <c r="C691" s="35" t="str">
        <f t="shared" si="21"/>
        <v>01-2026</v>
      </c>
      <c r="D691" s="36" t="s">
        <v>14</v>
      </c>
      <c r="E691" s="36" t="s">
        <v>15</v>
      </c>
      <c r="F691" s="37">
        <v>471.14</v>
      </c>
      <c r="G691" s="36" t="s">
        <v>30</v>
      </c>
      <c r="H691" s="37">
        <f t="shared" si="1"/>
        <v>1</v>
      </c>
      <c r="I691" s="37">
        <f t="shared" si="22"/>
        <v>2</v>
      </c>
      <c r="J691" s="37" t="str">
        <f>IF(COUNTIF($A$2:A691,A691)=1,"New","Repeat")</f>
        <v>Repeat</v>
      </c>
      <c r="K691" s="37">
        <f ca="1">IFERROR(__xludf.DUMMYFUNCTION("IF(I691=""4+"",
   COUNTUNIQUE(FILTER(A:A, I:I&gt;=4)),
   COUNTUNIQUE(FILTER(A:A, I:I=I691))
)"),37)</f>
        <v>37</v>
      </c>
      <c r="L691" s="36"/>
      <c r="M691" s="36"/>
      <c r="N691" s="36"/>
    </row>
    <row r="692" spans="1:14" ht="15" x14ac:dyDescent="0.25">
      <c r="A692" s="33" t="s">
        <v>193</v>
      </c>
      <c r="B692" s="34">
        <v>45737</v>
      </c>
      <c r="C692" s="35" t="str">
        <f t="shared" si="21"/>
        <v>03-2025</v>
      </c>
      <c r="D692" s="36" t="s">
        <v>35</v>
      </c>
      <c r="E692" s="36" t="s">
        <v>58</v>
      </c>
      <c r="F692" s="37">
        <v>292.77999999999997</v>
      </c>
      <c r="G692" s="36" t="s">
        <v>25</v>
      </c>
      <c r="H692" s="37">
        <f t="shared" si="1"/>
        <v>1</v>
      </c>
      <c r="I692" s="37">
        <f t="shared" si="22"/>
        <v>5</v>
      </c>
      <c r="J692" s="37" t="str">
        <f>IF(COUNTIF($A$2:A692,A692)=1,"New","Repeat")</f>
        <v>Repeat</v>
      </c>
      <c r="K692" s="37">
        <f ca="1">IFERROR(__xludf.DUMMYFUNCTION("IF(I692=""4+"",
   COUNTUNIQUE(FILTER(A:A, I:I&gt;=4)),
   COUNTUNIQUE(FILTER(A:A, I:I=I692))
)"),34)</f>
        <v>34</v>
      </c>
      <c r="L692" s="36"/>
      <c r="M692" s="36"/>
      <c r="N692" s="36"/>
    </row>
    <row r="693" spans="1:14" ht="15" x14ac:dyDescent="0.25">
      <c r="A693" s="33" t="s">
        <v>216</v>
      </c>
      <c r="B693" s="34">
        <v>45998</v>
      </c>
      <c r="C693" s="35" t="str">
        <f t="shared" si="21"/>
        <v>12-2025</v>
      </c>
      <c r="D693" s="36" t="s">
        <v>14</v>
      </c>
      <c r="E693" s="36" t="s">
        <v>96</v>
      </c>
      <c r="F693" s="37">
        <v>275.29000000000002</v>
      </c>
      <c r="G693" s="36" t="s">
        <v>70</v>
      </c>
      <c r="H693" s="37">
        <f t="shared" si="1"/>
        <v>1</v>
      </c>
      <c r="I693" s="37">
        <f t="shared" si="22"/>
        <v>6</v>
      </c>
      <c r="J693" s="37" t="str">
        <f>IF(COUNTIF($A$2:A693,A693)=1,"New","Repeat")</f>
        <v>Repeat</v>
      </c>
      <c r="K693" s="37">
        <f ca="1">IFERROR(__xludf.DUMMYFUNCTION("IF(I693=""4+"",
   COUNTUNIQUE(FILTER(A:A, I:I&gt;=4)),
   COUNTUNIQUE(FILTER(A:A, I:I=I693))
)"),19)</f>
        <v>19</v>
      </c>
      <c r="L693" s="36"/>
      <c r="M693" s="36"/>
      <c r="N693" s="36"/>
    </row>
    <row r="694" spans="1:14" ht="15" x14ac:dyDescent="0.25">
      <c r="A694" s="33" t="s">
        <v>157</v>
      </c>
      <c r="B694" s="34">
        <v>45796</v>
      </c>
      <c r="C694" s="35" t="str">
        <f t="shared" si="21"/>
        <v>05-2025</v>
      </c>
      <c r="D694" s="36" t="s">
        <v>28</v>
      </c>
      <c r="E694" s="36" t="s">
        <v>43</v>
      </c>
      <c r="F694" s="37">
        <v>265.14999999999998</v>
      </c>
      <c r="G694" s="36" t="s">
        <v>22</v>
      </c>
      <c r="H694" s="37">
        <f t="shared" si="1"/>
        <v>1</v>
      </c>
      <c r="I694" s="37">
        <f t="shared" si="22"/>
        <v>5</v>
      </c>
      <c r="J694" s="37" t="str">
        <f>IF(COUNTIF($A$2:A694,A694)=1,"New","Repeat")</f>
        <v>Repeat</v>
      </c>
      <c r="K694" s="37">
        <f ca="1">IFERROR(__xludf.DUMMYFUNCTION("IF(I694=""4+"",
   COUNTUNIQUE(FILTER(A:A, I:I&gt;=4)),
   COUNTUNIQUE(FILTER(A:A, I:I=I694))
)"),34)</f>
        <v>34</v>
      </c>
      <c r="L694" s="36"/>
      <c r="M694" s="36"/>
      <c r="N694" s="36"/>
    </row>
    <row r="695" spans="1:14" ht="15" x14ac:dyDescent="0.25">
      <c r="A695" s="33" t="s">
        <v>81</v>
      </c>
      <c r="B695" s="34">
        <v>45791</v>
      </c>
      <c r="C695" s="35" t="str">
        <f t="shared" si="21"/>
        <v>05-2025</v>
      </c>
      <c r="D695" s="36" t="s">
        <v>28</v>
      </c>
      <c r="E695" s="36" t="s">
        <v>45</v>
      </c>
      <c r="F695" s="37">
        <v>57.23</v>
      </c>
      <c r="G695" s="36" t="s">
        <v>16</v>
      </c>
      <c r="H695" s="37">
        <f t="shared" si="1"/>
        <v>1</v>
      </c>
      <c r="I695" s="37">
        <f t="shared" si="22"/>
        <v>10</v>
      </c>
      <c r="J695" s="37" t="str">
        <f>IF(COUNTIF($A$2:A695,A695)=1,"New","Repeat")</f>
        <v>Repeat</v>
      </c>
      <c r="K695" s="37">
        <f ca="1">IFERROR(__xludf.DUMMYFUNCTION("IF(I695=""4+"",
   COUNTUNIQUE(FILTER(A:A, I:I&gt;=4)),
   COUNTUNIQUE(FILTER(A:A, I:I=I695))
)"),1)</f>
        <v>1</v>
      </c>
      <c r="L695" s="36"/>
      <c r="M695" s="36"/>
      <c r="N695" s="36"/>
    </row>
    <row r="696" spans="1:14" ht="15" x14ac:dyDescent="0.25">
      <c r="A696" s="33" t="s">
        <v>160</v>
      </c>
      <c r="B696" s="39">
        <v>45943</v>
      </c>
      <c r="C696" s="35" t="str">
        <f t="shared" si="21"/>
        <v>10-2025</v>
      </c>
      <c r="D696" s="36" t="s">
        <v>18</v>
      </c>
      <c r="E696" s="36" t="s">
        <v>24</v>
      </c>
      <c r="F696" s="37">
        <v>409.37</v>
      </c>
      <c r="G696" s="36" t="s">
        <v>30</v>
      </c>
      <c r="H696" s="37">
        <f t="shared" si="1"/>
        <v>1</v>
      </c>
      <c r="I696" s="37">
        <f t="shared" si="22"/>
        <v>3</v>
      </c>
      <c r="J696" s="37" t="str">
        <f>IF(COUNTIF($A$2:A696,A696)=1,"New","Repeat")</f>
        <v>Repeat</v>
      </c>
      <c r="K696" s="37">
        <f ca="1">IFERROR(__xludf.DUMMYFUNCTION("IF(I696=""4+"",
   COUNTUNIQUE(FILTER(A:A, I:I&gt;=4)),
   COUNTUNIQUE(FILTER(A:A, I:I=I696))
)"),42)</f>
        <v>42</v>
      </c>
      <c r="L696" s="36"/>
      <c r="M696" s="36"/>
      <c r="N696" s="36"/>
    </row>
    <row r="697" spans="1:14" ht="15" x14ac:dyDescent="0.25">
      <c r="A697" s="33" t="s">
        <v>163</v>
      </c>
      <c r="B697" s="34">
        <v>46071</v>
      </c>
      <c r="C697" s="35" t="str">
        <f t="shared" si="21"/>
        <v>02-2026</v>
      </c>
      <c r="D697" s="36" t="s">
        <v>51</v>
      </c>
      <c r="E697" s="36" t="s">
        <v>68</v>
      </c>
      <c r="F697" s="37">
        <v>73.27</v>
      </c>
      <c r="G697" s="36" t="s">
        <v>37</v>
      </c>
      <c r="H697" s="37">
        <f t="shared" si="1"/>
        <v>1</v>
      </c>
      <c r="I697" s="37">
        <f t="shared" si="22"/>
        <v>4</v>
      </c>
      <c r="J697" s="37" t="str">
        <f>IF(COUNTIF($A$2:A697,A697)=1,"New","Repeat")</f>
        <v>Repeat</v>
      </c>
      <c r="K697" s="37">
        <f ca="1">IFERROR(__xludf.DUMMYFUNCTION("IF(I697=""4+"",
   COUNTUNIQUE(FILTER(A:A, I:I&gt;=4)),
   COUNTUNIQUE(FILTER(A:A, I:I=I697))
)"),32)</f>
        <v>32</v>
      </c>
      <c r="L697" s="36"/>
      <c r="M697" s="36"/>
      <c r="N697" s="36"/>
    </row>
    <row r="698" spans="1:14" ht="15" x14ac:dyDescent="0.25">
      <c r="A698" s="33" t="s">
        <v>100</v>
      </c>
      <c r="B698" s="34">
        <v>45779</v>
      </c>
      <c r="C698" s="35" t="str">
        <f t="shared" si="21"/>
        <v>05-2025</v>
      </c>
      <c r="D698" s="36" t="s">
        <v>18</v>
      </c>
      <c r="E698" s="36" t="s">
        <v>21</v>
      </c>
      <c r="F698" s="37">
        <v>309.62</v>
      </c>
      <c r="G698" s="36" t="s">
        <v>33</v>
      </c>
      <c r="H698" s="37">
        <f t="shared" si="1"/>
        <v>1</v>
      </c>
      <c r="I698" s="37">
        <f t="shared" si="22"/>
        <v>6</v>
      </c>
      <c r="J698" s="37" t="str">
        <f>IF(COUNTIF($A$2:A698,A698)=1,"New","Repeat")</f>
        <v>Repeat</v>
      </c>
      <c r="K698" s="37">
        <f ca="1">IFERROR(__xludf.DUMMYFUNCTION("IF(I698=""4+"",
   COUNTUNIQUE(FILTER(A:A, I:I&gt;=4)),
   COUNTUNIQUE(FILTER(A:A, I:I=I698))
)"),19)</f>
        <v>19</v>
      </c>
      <c r="L698" s="36"/>
      <c r="M698" s="36"/>
      <c r="N698" s="36"/>
    </row>
    <row r="699" spans="1:14" ht="15" x14ac:dyDescent="0.25">
      <c r="A699" s="33" t="s">
        <v>245</v>
      </c>
      <c r="B699" s="39">
        <v>45954</v>
      </c>
      <c r="C699" s="35" t="str">
        <f t="shared" si="21"/>
        <v>10-2025</v>
      </c>
      <c r="D699" s="36" t="s">
        <v>14</v>
      </c>
      <c r="E699" s="36" t="s">
        <v>15</v>
      </c>
      <c r="F699" s="37">
        <v>38.840000000000003</v>
      </c>
      <c r="G699" s="36" t="s">
        <v>30</v>
      </c>
      <c r="H699" s="37">
        <f t="shared" si="1"/>
        <v>1</v>
      </c>
      <c r="I699" s="37">
        <f t="shared" si="22"/>
        <v>2</v>
      </c>
      <c r="J699" s="37" t="str">
        <f>IF(COUNTIF($A$2:A699,A699)=1,"New","Repeat")</f>
        <v>Repeat</v>
      </c>
      <c r="K699" s="37">
        <f ca="1">IFERROR(__xludf.DUMMYFUNCTION("IF(I699=""4+"",
   COUNTUNIQUE(FILTER(A:A, I:I&gt;=4)),
   COUNTUNIQUE(FILTER(A:A, I:I=I699))
)"),37)</f>
        <v>37</v>
      </c>
      <c r="L699" s="36"/>
      <c r="M699" s="36"/>
      <c r="N699" s="36"/>
    </row>
    <row r="700" spans="1:14" ht="15" x14ac:dyDescent="0.25">
      <c r="A700" s="33" t="s">
        <v>90</v>
      </c>
      <c r="B700" s="34">
        <v>46040</v>
      </c>
      <c r="C700" s="35" t="str">
        <f t="shared" si="21"/>
        <v>01-2026</v>
      </c>
      <c r="D700" s="36" t="s">
        <v>51</v>
      </c>
      <c r="E700" s="36" t="s">
        <v>68</v>
      </c>
      <c r="F700" s="37">
        <v>176</v>
      </c>
      <c r="G700" s="36" t="s">
        <v>30</v>
      </c>
      <c r="H700" s="37">
        <f t="shared" si="1"/>
        <v>1</v>
      </c>
      <c r="I700" s="37">
        <f t="shared" si="22"/>
        <v>5</v>
      </c>
      <c r="J700" s="37" t="str">
        <f>IF(COUNTIF($A$2:A700,A700)=1,"New","Repeat")</f>
        <v>Repeat</v>
      </c>
      <c r="K700" s="37">
        <f ca="1">IFERROR(__xludf.DUMMYFUNCTION("IF(I700=""4+"",
   COUNTUNIQUE(FILTER(A:A, I:I&gt;=4)),
   COUNTUNIQUE(FILTER(A:A, I:I=I700))
)"),34)</f>
        <v>34</v>
      </c>
      <c r="L700" s="36"/>
      <c r="M700" s="36"/>
      <c r="N700" s="36"/>
    </row>
    <row r="701" spans="1:14" ht="15.75" customHeight="1" x14ac:dyDescent="0.25">
      <c r="A701" s="33" t="s">
        <v>184</v>
      </c>
      <c r="B701" s="34">
        <v>45827</v>
      </c>
      <c r="C701" s="35" t="str">
        <f t="shared" si="21"/>
        <v>06-2025</v>
      </c>
      <c r="D701" s="36" t="s">
        <v>28</v>
      </c>
      <c r="E701" s="36" t="s">
        <v>43</v>
      </c>
      <c r="F701" s="37">
        <v>300.38</v>
      </c>
      <c r="G701" s="36" t="s">
        <v>30</v>
      </c>
      <c r="H701" s="37">
        <f t="shared" si="1"/>
        <v>1</v>
      </c>
      <c r="I701" s="37">
        <f t="shared" si="22"/>
        <v>6</v>
      </c>
      <c r="J701" s="37" t="str">
        <f>IF(COUNTIF($A$2:A701,A701)=1,"New","Repeat")</f>
        <v>Repeat</v>
      </c>
      <c r="K701" s="37">
        <f ca="1">IFERROR(__xludf.DUMMYFUNCTION("IF(I701=""4+"",
   COUNTUNIQUE(FILTER(A:A, I:I&gt;=4)),
   COUNTUNIQUE(FILTER(A:A, I:I=I701))
)"),19)</f>
        <v>19</v>
      </c>
      <c r="L701" s="36"/>
      <c r="M701" s="36"/>
      <c r="N701" s="36"/>
    </row>
  </sheetData>
  <customSheetViews>
    <customSheetView guid="{E29A42F8-147C-49F6-B80E-B2B89CA2AF87}" filter="1" showAutoFilter="1">
      <pageMargins left="0.7" right="0.7" top="0.75" bottom="0.75" header="0.3" footer="0.3"/>
      <autoFilter ref="A1:N701"/>
    </customSheetView>
  </customSheetView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B1000"/>
  <sheetViews>
    <sheetView showGridLines="0" workbookViewId="0"/>
  </sheetViews>
  <sheetFormatPr defaultColWidth="12.5703125" defaultRowHeight="15.75" customHeight="1" x14ac:dyDescent="0.2"/>
  <sheetData>
    <row r="1" spans="1:2" ht="12.75" x14ac:dyDescent="0.2">
      <c r="A1" s="2" t="s">
        <v>8</v>
      </c>
      <c r="B1" s="2" t="s">
        <v>246</v>
      </c>
    </row>
    <row r="2" spans="1:2" ht="12.75" hidden="1" x14ac:dyDescent="0.2">
      <c r="A2" s="2"/>
      <c r="B2" s="2">
        <v>0</v>
      </c>
    </row>
    <row r="3" spans="1:2" ht="12.75" x14ac:dyDescent="0.2">
      <c r="A3" s="2">
        <v>1</v>
      </c>
      <c r="B3" s="2">
        <v>24</v>
      </c>
    </row>
    <row r="4" spans="1:2" ht="12.75" x14ac:dyDescent="0.2">
      <c r="A4" s="2">
        <v>2</v>
      </c>
      <c r="B4" s="2">
        <v>37</v>
      </c>
    </row>
    <row r="5" spans="1:2" ht="12.75" x14ac:dyDescent="0.2">
      <c r="A5" s="2">
        <v>3</v>
      </c>
      <c r="B5" s="2">
        <v>42</v>
      </c>
    </row>
    <row r="6" spans="1:2" ht="12.75" x14ac:dyDescent="0.2">
      <c r="A6" s="2">
        <v>4</v>
      </c>
      <c r="B6" s="2">
        <v>32</v>
      </c>
    </row>
    <row r="7" spans="1:2" ht="12.75" x14ac:dyDescent="0.2">
      <c r="A7" s="2">
        <v>5</v>
      </c>
      <c r="B7" s="2">
        <v>34</v>
      </c>
    </row>
    <row r="8" spans="1:2" ht="12.75" x14ac:dyDescent="0.2">
      <c r="A8" s="2">
        <v>6</v>
      </c>
      <c r="B8" s="2">
        <v>19</v>
      </c>
    </row>
    <row r="9" spans="1:2" ht="12.75" x14ac:dyDescent="0.2">
      <c r="A9" s="2">
        <v>7</v>
      </c>
      <c r="B9" s="2">
        <v>4</v>
      </c>
    </row>
    <row r="10" spans="1:2" ht="12.75" x14ac:dyDescent="0.2">
      <c r="A10" s="2">
        <v>8</v>
      </c>
      <c r="B10" s="2">
        <v>1</v>
      </c>
    </row>
    <row r="11" spans="1:2" ht="12.75" x14ac:dyDescent="0.2">
      <c r="A11" s="2">
        <v>9</v>
      </c>
      <c r="B11" s="2">
        <v>2</v>
      </c>
    </row>
    <row r="12" spans="1:2" ht="12.75" x14ac:dyDescent="0.2">
      <c r="A12" s="2">
        <v>10</v>
      </c>
      <c r="B12" s="2">
        <v>1</v>
      </c>
    </row>
    <row r="13" spans="1:2" ht="12.75" x14ac:dyDescent="0.2">
      <c r="A13" s="2" t="s">
        <v>247</v>
      </c>
      <c r="B13" s="2">
        <v>196</v>
      </c>
    </row>
    <row r="14" spans="1:2" ht="12.75" hidden="1" x14ac:dyDescent="0.2"/>
    <row r="15" spans="1:2" ht="12.75" hidden="1" x14ac:dyDescent="0.2"/>
    <row r="16" spans="1:2" ht="12.75" hidden="1" x14ac:dyDescent="0.2"/>
    <row r="17" ht="12.75" hidden="1" x14ac:dyDescent="0.2"/>
    <row r="18" ht="12.75" hidden="1" x14ac:dyDescent="0.2"/>
    <row r="19" ht="12.75" hidden="1" x14ac:dyDescent="0.2"/>
    <row r="20" ht="12.75" hidden="1" x14ac:dyDescent="0.2"/>
    <row r="21" ht="12.75" hidden="1" x14ac:dyDescent="0.2"/>
    <row r="22" ht="12.75" hidden="1" x14ac:dyDescent="0.2"/>
    <row r="23" ht="12.75" hidden="1" x14ac:dyDescent="0.2"/>
    <row r="24" ht="12.75" hidden="1" x14ac:dyDescent="0.2"/>
    <row r="25" ht="12.75" hidden="1" x14ac:dyDescent="0.2"/>
    <row r="26" ht="12.75" hidden="1" x14ac:dyDescent="0.2"/>
    <row r="27" ht="12.75" hidden="1" x14ac:dyDescent="0.2"/>
    <row r="28" ht="12.75" hidden="1" x14ac:dyDescent="0.2"/>
    <row r="29" ht="12.75" hidden="1" x14ac:dyDescent="0.2"/>
    <row r="30" ht="12.75" hidden="1" x14ac:dyDescent="0.2"/>
    <row r="31" ht="12.75" hidden="1" x14ac:dyDescent="0.2"/>
    <row r="32" ht="12.75" hidden="1" x14ac:dyDescent="0.2"/>
    <row r="33" ht="12.75" hidden="1" x14ac:dyDescent="0.2"/>
    <row r="34" ht="12.75" hidden="1" x14ac:dyDescent="0.2"/>
    <row r="35" ht="12.75" hidden="1" x14ac:dyDescent="0.2"/>
    <row r="36" ht="12.75" hidden="1" x14ac:dyDescent="0.2"/>
    <row r="37" ht="12.75" hidden="1" x14ac:dyDescent="0.2"/>
    <row r="38" ht="12.75" hidden="1" x14ac:dyDescent="0.2"/>
    <row r="39" ht="12.75" hidden="1" x14ac:dyDescent="0.2"/>
    <row r="40" ht="12.75" hidden="1" x14ac:dyDescent="0.2"/>
    <row r="41" ht="12.75" hidden="1" x14ac:dyDescent="0.2"/>
    <row r="42" ht="12.75" hidden="1" x14ac:dyDescent="0.2"/>
    <row r="43" ht="12.75" hidden="1" x14ac:dyDescent="0.2"/>
    <row r="44" ht="12.75" hidden="1" x14ac:dyDescent="0.2"/>
    <row r="45" ht="12.75" hidden="1" x14ac:dyDescent="0.2"/>
    <row r="46" ht="12.75" hidden="1" x14ac:dyDescent="0.2"/>
    <row r="47" ht="12.75" hidden="1" x14ac:dyDescent="0.2"/>
    <row r="48" ht="12.75" hidden="1" x14ac:dyDescent="0.2"/>
    <row r="49" ht="12.75" hidden="1" x14ac:dyDescent="0.2"/>
    <row r="50" ht="12.75" hidden="1" x14ac:dyDescent="0.2"/>
    <row r="51" ht="12.75" hidden="1" x14ac:dyDescent="0.2"/>
    <row r="52" ht="12.75" hidden="1" x14ac:dyDescent="0.2"/>
    <row r="53" ht="12.75" hidden="1" x14ac:dyDescent="0.2"/>
    <row r="54" ht="12.75" hidden="1" x14ac:dyDescent="0.2"/>
    <row r="55" ht="12.75" hidden="1" x14ac:dyDescent="0.2"/>
    <row r="56" ht="12.75" hidden="1" x14ac:dyDescent="0.2"/>
    <row r="57" ht="12.75" hidden="1" x14ac:dyDescent="0.2"/>
    <row r="58" ht="12.75" hidden="1" x14ac:dyDescent="0.2"/>
    <row r="59" ht="12.75" hidden="1" x14ac:dyDescent="0.2"/>
    <row r="60" ht="12.75" hidden="1" x14ac:dyDescent="0.2"/>
    <row r="61" ht="12.75" hidden="1" x14ac:dyDescent="0.2"/>
    <row r="62" ht="12.75" hidden="1" x14ac:dyDescent="0.2"/>
    <row r="63" ht="12.75" hidden="1" x14ac:dyDescent="0.2"/>
    <row r="64" ht="12.75" hidden="1" x14ac:dyDescent="0.2"/>
    <row r="65" ht="12.75" hidden="1" x14ac:dyDescent="0.2"/>
    <row r="66" ht="12.75" hidden="1" x14ac:dyDescent="0.2"/>
    <row r="67" ht="12.75" hidden="1" x14ac:dyDescent="0.2"/>
    <row r="68" ht="12.75" hidden="1" x14ac:dyDescent="0.2"/>
    <row r="69" ht="12.75" hidden="1" x14ac:dyDescent="0.2"/>
    <row r="70" ht="12.75" hidden="1" x14ac:dyDescent="0.2"/>
    <row r="71" ht="12.75" hidden="1" x14ac:dyDescent="0.2"/>
    <row r="72" ht="12.75" hidden="1" x14ac:dyDescent="0.2"/>
    <row r="73" ht="12.75" hidden="1" x14ac:dyDescent="0.2"/>
    <row r="74" ht="12.75" hidden="1" x14ac:dyDescent="0.2"/>
    <row r="75" ht="12.75" hidden="1" x14ac:dyDescent="0.2"/>
    <row r="76" ht="12.75" hidden="1" x14ac:dyDescent="0.2"/>
    <row r="77" ht="12.75" hidden="1" x14ac:dyDescent="0.2"/>
    <row r="78" ht="12.75" hidden="1" x14ac:dyDescent="0.2"/>
    <row r="79" ht="12.75" hidden="1" x14ac:dyDescent="0.2"/>
    <row r="80" ht="12.75" hidden="1" x14ac:dyDescent="0.2"/>
    <row r="81" ht="12.75" hidden="1" x14ac:dyDescent="0.2"/>
    <row r="82" ht="12.75" hidden="1" x14ac:dyDescent="0.2"/>
    <row r="83" ht="12.75" hidden="1" x14ac:dyDescent="0.2"/>
    <row r="84" ht="12.75" hidden="1" x14ac:dyDescent="0.2"/>
    <row r="85" ht="12.75" hidden="1" x14ac:dyDescent="0.2"/>
    <row r="86" ht="12.75" hidden="1" x14ac:dyDescent="0.2"/>
    <row r="87" ht="12.75" hidden="1" x14ac:dyDescent="0.2"/>
    <row r="88" ht="12.75" hidden="1" x14ac:dyDescent="0.2"/>
    <row r="89" ht="12.75" hidden="1" x14ac:dyDescent="0.2"/>
    <row r="90" ht="12.75" hidden="1" x14ac:dyDescent="0.2"/>
    <row r="91" ht="12.75" hidden="1" x14ac:dyDescent="0.2"/>
    <row r="92" ht="12.75" hidden="1" x14ac:dyDescent="0.2"/>
    <row r="93" ht="12.75" hidden="1" x14ac:dyDescent="0.2"/>
    <row r="94" ht="12.75" hidden="1" x14ac:dyDescent="0.2"/>
    <row r="95" ht="12.75" hidden="1" x14ac:dyDescent="0.2"/>
    <row r="96" ht="12.75" hidden="1" x14ac:dyDescent="0.2"/>
    <row r="97" ht="12.75" hidden="1" x14ac:dyDescent="0.2"/>
    <row r="98" ht="12.75" hidden="1" x14ac:dyDescent="0.2"/>
    <row r="99" ht="12.75" hidden="1" x14ac:dyDescent="0.2"/>
    <row r="100" ht="12.75" hidden="1" x14ac:dyDescent="0.2"/>
    <row r="101" ht="12.75" hidden="1" x14ac:dyDescent="0.2"/>
    <row r="102" ht="12.75" hidden="1" x14ac:dyDescent="0.2"/>
    <row r="103" ht="12.75" hidden="1" x14ac:dyDescent="0.2"/>
    <row r="104" ht="12.75" hidden="1" x14ac:dyDescent="0.2"/>
    <row r="105" ht="12.75" hidden="1" x14ac:dyDescent="0.2"/>
    <row r="106" ht="12.75" hidden="1" x14ac:dyDescent="0.2"/>
    <row r="107" ht="12.75" hidden="1" x14ac:dyDescent="0.2"/>
    <row r="108" ht="12.75" hidden="1" x14ac:dyDescent="0.2"/>
    <row r="109" ht="12.75" hidden="1" x14ac:dyDescent="0.2"/>
    <row r="110" ht="12.75" hidden="1" x14ac:dyDescent="0.2"/>
    <row r="111" ht="12.75" hidden="1" x14ac:dyDescent="0.2"/>
    <row r="112" ht="12.75" hidden="1" x14ac:dyDescent="0.2"/>
    <row r="113" ht="12.75" hidden="1" x14ac:dyDescent="0.2"/>
    <row r="114" ht="12.75" hidden="1" x14ac:dyDescent="0.2"/>
    <row r="115" ht="12.75" hidden="1" x14ac:dyDescent="0.2"/>
    <row r="116" ht="12.75" hidden="1" x14ac:dyDescent="0.2"/>
    <row r="117" ht="12.75" hidden="1" x14ac:dyDescent="0.2"/>
    <row r="118" ht="12.75" hidden="1" x14ac:dyDescent="0.2"/>
    <row r="119" ht="12.75" hidden="1" x14ac:dyDescent="0.2"/>
    <row r="120" ht="12.75" hidden="1" x14ac:dyDescent="0.2"/>
    <row r="121" ht="12.75" hidden="1" x14ac:dyDescent="0.2"/>
    <row r="122" ht="12.75" hidden="1" x14ac:dyDescent="0.2"/>
    <row r="123" ht="12.75" hidden="1" x14ac:dyDescent="0.2"/>
    <row r="124" ht="12.75" hidden="1" x14ac:dyDescent="0.2"/>
    <row r="125" ht="12.75" hidden="1" x14ac:dyDescent="0.2"/>
    <row r="126" ht="12.75" hidden="1" x14ac:dyDescent="0.2"/>
    <row r="127" ht="12.75" hidden="1" x14ac:dyDescent="0.2"/>
    <row r="128" ht="12.75" hidden="1" x14ac:dyDescent="0.2"/>
    <row r="129" ht="12.75" hidden="1" x14ac:dyDescent="0.2"/>
    <row r="130" ht="12.75" hidden="1" x14ac:dyDescent="0.2"/>
    <row r="131" ht="12.75" hidden="1" x14ac:dyDescent="0.2"/>
    <row r="132" ht="12.75" hidden="1" x14ac:dyDescent="0.2"/>
    <row r="133" ht="12.75" hidden="1" x14ac:dyDescent="0.2"/>
    <row r="134" ht="12.75" hidden="1" x14ac:dyDescent="0.2"/>
    <row r="135" ht="12.75" hidden="1" x14ac:dyDescent="0.2"/>
    <row r="136" ht="12.75" hidden="1" x14ac:dyDescent="0.2"/>
    <row r="137" ht="12.75" hidden="1" x14ac:dyDescent="0.2"/>
    <row r="138" ht="12.75" hidden="1" x14ac:dyDescent="0.2"/>
    <row r="139" ht="12.75" hidden="1" x14ac:dyDescent="0.2"/>
    <row r="140" ht="12.75" hidden="1" x14ac:dyDescent="0.2"/>
    <row r="141" ht="12.75" hidden="1" x14ac:dyDescent="0.2"/>
    <row r="142" ht="12.75" hidden="1" x14ac:dyDescent="0.2"/>
    <row r="143" ht="12.75" hidden="1" x14ac:dyDescent="0.2"/>
    <row r="144" ht="12.75" hidden="1" x14ac:dyDescent="0.2"/>
    <row r="145" ht="12.75" hidden="1" x14ac:dyDescent="0.2"/>
    <row r="146" ht="12.75" hidden="1" x14ac:dyDescent="0.2"/>
    <row r="147" ht="12.75" hidden="1" x14ac:dyDescent="0.2"/>
    <row r="148" ht="12.75" hidden="1" x14ac:dyDescent="0.2"/>
    <row r="149" ht="12.75" hidden="1" x14ac:dyDescent="0.2"/>
    <row r="150" ht="12.75" hidden="1" x14ac:dyDescent="0.2"/>
    <row r="151" ht="12.75" hidden="1" x14ac:dyDescent="0.2"/>
    <row r="152" ht="12.75" hidden="1" x14ac:dyDescent="0.2"/>
    <row r="153" ht="12.75" hidden="1" x14ac:dyDescent="0.2"/>
    <row r="154" ht="12.75" hidden="1" x14ac:dyDescent="0.2"/>
    <row r="155" ht="12.75" hidden="1" x14ac:dyDescent="0.2"/>
    <row r="156" ht="12.75" hidden="1" x14ac:dyDescent="0.2"/>
    <row r="157" ht="12.75" hidden="1" x14ac:dyDescent="0.2"/>
    <row r="158" ht="12.75" hidden="1" x14ac:dyDescent="0.2"/>
    <row r="159" ht="12.75" hidden="1" x14ac:dyDescent="0.2"/>
    <row r="160" ht="12.75" hidden="1" x14ac:dyDescent="0.2"/>
    <row r="161" ht="12.75" hidden="1" x14ac:dyDescent="0.2"/>
    <row r="162" ht="12.75" hidden="1" x14ac:dyDescent="0.2"/>
    <row r="163" ht="12.75" hidden="1" x14ac:dyDescent="0.2"/>
    <row r="164" ht="12.75" hidden="1" x14ac:dyDescent="0.2"/>
    <row r="165" ht="12.75" hidden="1" x14ac:dyDescent="0.2"/>
    <row r="166" ht="12.75" hidden="1" x14ac:dyDescent="0.2"/>
    <row r="167" ht="12.75" hidden="1" x14ac:dyDescent="0.2"/>
    <row r="168" ht="12.75" hidden="1" x14ac:dyDescent="0.2"/>
    <row r="169" ht="12.75" hidden="1" x14ac:dyDescent="0.2"/>
    <row r="170" ht="12.75" hidden="1" x14ac:dyDescent="0.2"/>
    <row r="171" ht="12.75" hidden="1" x14ac:dyDescent="0.2"/>
    <row r="172" ht="12.75" hidden="1" x14ac:dyDescent="0.2"/>
    <row r="173" ht="12.75" hidden="1" x14ac:dyDescent="0.2"/>
    <row r="174" ht="12.75" hidden="1" x14ac:dyDescent="0.2"/>
    <row r="175" ht="12.75" hidden="1" x14ac:dyDescent="0.2"/>
    <row r="176" ht="12.75" hidden="1" x14ac:dyDescent="0.2"/>
    <row r="177" ht="12.75" hidden="1" x14ac:dyDescent="0.2"/>
    <row r="178" ht="12.75" hidden="1" x14ac:dyDescent="0.2"/>
    <row r="179" ht="12.75" hidden="1" x14ac:dyDescent="0.2"/>
    <row r="180" ht="12.75" hidden="1" x14ac:dyDescent="0.2"/>
    <row r="181" ht="12.75" hidden="1" x14ac:dyDescent="0.2"/>
    <row r="182" ht="12.75" hidden="1" x14ac:dyDescent="0.2"/>
    <row r="183" ht="12.75" hidden="1" x14ac:dyDescent="0.2"/>
    <row r="184" ht="12.75" hidden="1" x14ac:dyDescent="0.2"/>
    <row r="185" ht="12.75" hidden="1" x14ac:dyDescent="0.2"/>
    <row r="186" ht="12.75" hidden="1" x14ac:dyDescent="0.2"/>
    <row r="187" ht="12.75" hidden="1" x14ac:dyDescent="0.2"/>
    <row r="188" ht="12.75" hidden="1" x14ac:dyDescent="0.2"/>
    <row r="189" ht="12.75" hidden="1" x14ac:dyDescent="0.2"/>
    <row r="190" ht="12.75" hidden="1" x14ac:dyDescent="0.2"/>
    <row r="191" ht="12.75" hidden="1" x14ac:dyDescent="0.2"/>
    <row r="192" ht="12.75" hidden="1" x14ac:dyDescent="0.2"/>
    <row r="193" ht="12.75" hidden="1" x14ac:dyDescent="0.2"/>
    <row r="194" ht="12.75" hidden="1" x14ac:dyDescent="0.2"/>
    <row r="195" ht="12.75" hidden="1" x14ac:dyDescent="0.2"/>
    <row r="196" ht="12.75" hidden="1" x14ac:dyDescent="0.2"/>
    <row r="197" ht="12.75" hidden="1" x14ac:dyDescent="0.2"/>
    <row r="198" ht="12.75" hidden="1" x14ac:dyDescent="0.2"/>
    <row r="199" ht="12.75" hidden="1" x14ac:dyDescent="0.2"/>
    <row r="200" ht="12.75" hidden="1" x14ac:dyDescent="0.2"/>
    <row r="201" ht="12.75" hidden="1" x14ac:dyDescent="0.2"/>
    <row r="202" ht="12.75" hidden="1" x14ac:dyDescent="0.2"/>
    <row r="203" ht="12.75" hidden="1" x14ac:dyDescent="0.2"/>
    <row r="204" ht="12.75" hidden="1" x14ac:dyDescent="0.2"/>
    <row r="205" ht="12.75" hidden="1" x14ac:dyDescent="0.2"/>
    <row r="206" ht="12.75" hidden="1" x14ac:dyDescent="0.2"/>
    <row r="207" ht="12.75" hidden="1" x14ac:dyDescent="0.2"/>
    <row r="208" ht="12.75" hidden="1" x14ac:dyDescent="0.2"/>
    <row r="209" ht="12.75" hidden="1" x14ac:dyDescent="0.2"/>
    <row r="210" ht="12.75" hidden="1" x14ac:dyDescent="0.2"/>
    <row r="211" ht="12.75" hidden="1" x14ac:dyDescent="0.2"/>
    <row r="212" ht="12.75" hidden="1" x14ac:dyDescent="0.2"/>
    <row r="213" ht="12.75" hidden="1" x14ac:dyDescent="0.2"/>
    <row r="214" ht="12.75" hidden="1" x14ac:dyDescent="0.2"/>
    <row r="215" ht="12.75" hidden="1" x14ac:dyDescent="0.2"/>
    <row r="216" ht="12.75" hidden="1" x14ac:dyDescent="0.2"/>
    <row r="217" ht="12.75" hidden="1" x14ac:dyDescent="0.2"/>
    <row r="218" ht="12.75" hidden="1" x14ac:dyDescent="0.2"/>
    <row r="219" ht="12.75" hidden="1" x14ac:dyDescent="0.2"/>
    <row r="220" ht="12.75" hidden="1" x14ac:dyDescent="0.2"/>
    <row r="221" ht="12.75" hidden="1" x14ac:dyDescent="0.2"/>
    <row r="222" ht="12.75" hidden="1" x14ac:dyDescent="0.2"/>
    <row r="223" ht="12.75" hidden="1" x14ac:dyDescent="0.2"/>
    <row r="224" ht="12.75" hidden="1" x14ac:dyDescent="0.2"/>
    <row r="225" ht="12.75" hidden="1" x14ac:dyDescent="0.2"/>
    <row r="226" ht="12.75" hidden="1" x14ac:dyDescent="0.2"/>
    <row r="227" ht="12.75" hidden="1" x14ac:dyDescent="0.2"/>
    <row r="228" ht="12.75" hidden="1" x14ac:dyDescent="0.2"/>
    <row r="229" ht="12.75" hidden="1" x14ac:dyDescent="0.2"/>
    <row r="230" ht="12.75" hidden="1" x14ac:dyDescent="0.2"/>
    <row r="231" ht="12.75" hidden="1" x14ac:dyDescent="0.2"/>
    <row r="232" ht="12.75" hidden="1" x14ac:dyDescent="0.2"/>
    <row r="233" ht="12.75" hidden="1" x14ac:dyDescent="0.2"/>
    <row r="234" ht="12.75" hidden="1" x14ac:dyDescent="0.2"/>
    <row r="235" ht="12.75" hidden="1" x14ac:dyDescent="0.2"/>
    <row r="236" ht="12.75" hidden="1" x14ac:dyDescent="0.2"/>
    <row r="237" ht="12.75" hidden="1" x14ac:dyDescent="0.2"/>
    <row r="238" ht="12.75" hidden="1" x14ac:dyDescent="0.2"/>
    <row r="239" ht="12.75" hidden="1" x14ac:dyDescent="0.2"/>
    <row r="240" ht="12.75" hidden="1" x14ac:dyDescent="0.2"/>
    <row r="241" ht="12.75" hidden="1" x14ac:dyDescent="0.2"/>
    <row r="242" ht="12.75" hidden="1" x14ac:dyDescent="0.2"/>
    <row r="243" ht="12.75" hidden="1" x14ac:dyDescent="0.2"/>
    <row r="244" ht="12.75" hidden="1" x14ac:dyDescent="0.2"/>
    <row r="245" ht="12.75" hidden="1" x14ac:dyDescent="0.2"/>
    <row r="246" ht="12.75" hidden="1" x14ac:dyDescent="0.2"/>
    <row r="247" ht="12.75" hidden="1" x14ac:dyDescent="0.2"/>
    <row r="248" ht="12.75" hidden="1" x14ac:dyDescent="0.2"/>
    <row r="249" ht="12.75" hidden="1" x14ac:dyDescent="0.2"/>
    <row r="250" ht="12.75" hidden="1" x14ac:dyDescent="0.2"/>
    <row r="251" ht="12.75" hidden="1" x14ac:dyDescent="0.2"/>
    <row r="252" ht="12.75" hidden="1" x14ac:dyDescent="0.2"/>
    <row r="253" ht="12.75" hidden="1" x14ac:dyDescent="0.2"/>
    <row r="254" ht="12.75" hidden="1" x14ac:dyDescent="0.2"/>
    <row r="255" ht="12.75" hidden="1" x14ac:dyDescent="0.2"/>
    <row r="256" ht="12.75" hidden="1" x14ac:dyDescent="0.2"/>
    <row r="257" ht="12.75" hidden="1" x14ac:dyDescent="0.2"/>
    <row r="258" ht="12.75" hidden="1" x14ac:dyDescent="0.2"/>
    <row r="259" ht="12.75" hidden="1" x14ac:dyDescent="0.2"/>
    <row r="260" ht="12.75" hidden="1" x14ac:dyDescent="0.2"/>
    <row r="261" ht="12.75" hidden="1" x14ac:dyDescent="0.2"/>
    <row r="262" ht="12.75" hidden="1" x14ac:dyDescent="0.2"/>
    <row r="263" ht="12.75" hidden="1" x14ac:dyDescent="0.2"/>
    <row r="264" ht="12.75" hidden="1" x14ac:dyDescent="0.2"/>
    <row r="265" ht="12.75" hidden="1" x14ac:dyDescent="0.2"/>
    <row r="266" ht="12.75" hidden="1" x14ac:dyDescent="0.2"/>
    <row r="267" ht="12.75" hidden="1" x14ac:dyDescent="0.2"/>
    <row r="268" ht="12.75" hidden="1" x14ac:dyDescent="0.2"/>
    <row r="269" ht="12.75" hidden="1" x14ac:dyDescent="0.2"/>
    <row r="270" ht="12.75" hidden="1" x14ac:dyDescent="0.2"/>
    <row r="271" ht="12.75" hidden="1" x14ac:dyDescent="0.2"/>
    <row r="272" ht="12.75" hidden="1" x14ac:dyDescent="0.2"/>
    <row r="273" ht="12.75" hidden="1" x14ac:dyDescent="0.2"/>
    <row r="274" ht="12.75" hidden="1" x14ac:dyDescent="0.2"/>
    <row r="275" ht="12.75" hidden="1" x14ac:dyDescent="0.2"/>
    <row r="276" ht="12.75" hidden="1" x14ac:dyDescent="0.2"/>
    <row r="277" ht="12.75" hidden="1" x14ac:dyDescent="0.2"/>
    <row r="278" ht="12.75" hidden="1" x14ac:dyDescent="0.2"/>
    <row r="279" ht="12.75" hidden="1" x14ac:dyDescent="0.2"/>
    <row r="280" ht="12.75" hidden="1" x14ac:dyDescent="0.2"/>
    <row r="281" ht="12.75" hidden="1" x14ac:dyDescent="0.2"/>
    <row r="282" ht="12.75" hidden="1" x14ac:dyDescent="0.2"/>
    <row r="283" ht="12.75" hidden="1" x14ac:dyDescent="0.2"/>
    <row r="284" ht="12.75" hidden="1" x14ac:dyDescent="0.2"/>
    <row r="285" ht="12.75" hidden="1" x14ac:dyDescent="0.2"/>
    <row r="286" ht="12.75" hidden="1" x14ac:dyDescent="0.2"/>
    <row r="287" ht="12.75" hidden="1" x14ac:dyDescent="0.2"/>
    <row r="288" ht="12.75" hidden="1" x14ac:dyDescent="0.2"/>
    <row r="289" ht="12.75" hidden="1" x14ac:dyDescent="0.2"/>
    <row r="290" ht="12.75" hidden="1" x14ac:dyDescent="0.2"/>
    <row r="291" ht="12.75" hidden="1" x14ac:dyDescent="0.2"/>
    <row r="292" ht="12.75" hidden="1" x14ac:dyDescent="0.2"/>
    <row r="293" ht="12.75" hidden="1" x14ac:dyDescent="0.2"/>
    <row r="294" ht="12.75" hidden="1" x14ac:dyDescent="0.2"/>
    <row r="295" ht="12.75" hidden="1" x14ac:dyDescent="0.2"/>
    <row r="296" ht="12.75" hidden="1" x14ac:dyDescent="0.2"/>
    <row r="297" ht="12.75" hidden="1" x14ac:dyDescent="0.2"/>
    <row r="298" ht="12.75" hidden="1" x14ac:dyDescent="0.2"/>
    <row r="299" ht="12.75" hidden="1" x14ac:dyDescent="0.2"/>
    <row r="300" ht="12.75" hidden="1" x14ac:dyDescent="0.2"/>
    <row r="301" ht="12.75" hidden="1" x14ac:dyDescent="0.2"/>
    <row r="302" ht="12.75" hidden="1" x14ac:dyDescent="0.2"/>
    <row r="303" ht="12.75" hidden="1" x14ac:dyDescent="0.2"/>
    <row r="304" ht="12.75" hidden="1" x14ac:dyDescent="0.2"/>
    <row r="305" ht="12.75" hidden="1" x14ac:dyDescent="0.2"/>
    <row r="306" ht="12.75" hidden="1" x14ac:dyDescent="0.2"/>
    <row r="307" ht="12.75" hidden="1" x14ac:dyDescent="0.2"/>
    <row r="308" ht="12.75" hidden="1" x14ac:dyDescent="0.2"/>
    <row r="309" ht="12.75" hidden="1" x14ac:dyDescent="0.2"/>
    <row r="310" ht="12.75" hidden="1" x14ac:dyDescent="0.2"/>
    <row r="311" ht="12.75" hidden="1" x14ac:dyDescent="0.2"/>
    <row r="312" ht="12.75" hidden="1" x14ac:dyDescent="0.2"/>
    <row r="313" ht="12.75" hidden="1" x14ac:dyDescent="0.2"/>
    <row r="314" ht="12.75" hidden="1" x14ac:dyDescent="0.2"/>
    <row r="315" ht="12.75" hidden="1" x14ac:dyDescent="0.2"/>
    <row r="316" ht="12.75" hidden="1" x14ac:dyDescent="0.2"/>
    <row r="317" ht="12.75" hidden="1" x14ac:dyDescent="0.2"/>
    <row r="318" ht="12.75" hidden="1" x14ac:dyDescent="0.2"/>
    <row r="319" ht="12.75" hidden="1" x14ac:dyDescent="0.2"/>
    <row r="320" ht="12.75" hidden="1" x14ac:dyDescent="0.2"/>
    <row r="321" ht="12.75" hidden="1" x14ac:dyDescent="0.2"/>
    <row r="322" ht="12.75" hidden="1" x14ac:dyDescent="0.2"/>
    <row r="323" ht="12.75" hidden="1" x14ac:dyDescent="0.2"/>
    <row r="324" ht="12.75" hidden="1" x14ac:dyDescent="0.2"/>
    <row r="325" ht="12.75" hidden="1" x14ac:dyDescent="0.2"/>
    <row r="326" ht="12.75" hidden="1" x14ac:dyDescent="0.2"/>
    <row r="327" ht="12.75" hidden="1" x14ac:dyDescent="0.2"/>
    <row r="328" ht="12.75" hidden="1" x14ac:dyDescent="0.2"/>
    <row r="329" ht="12.75" hidden="1" x14ac:dyDescent="0.2"/>
    <row r="330" ht="12.75" hidden="1" x14ac:dyDescent="0.2"/>
    <row r="331" ht="12.75" hidden="1" x14ac:dyDescent="0.2"/>
    <row r="332" ht="12.75" hidden="1" x14ac:dyDescent="0.2"/>
    <row r="333" ht="12.75" hidden="1" x14ac:dyDescent="0.2"/>
    <row r="334" ht="12.75" hidden="1" x14ac:dyDescent="0.2"/>
    <row r="335" ht="12.75" hidden="1" x14ac:dyDescent="0.2"/>
    <row r="336" ht="12.75" hidden="1" x14ac:dyDescent="0.2"/>
    <row r="337" ht="12.75" hidden="1" x14ac:dyDescent="0.2"/>
    <row r="338" ht="12.75" hidden="1" x14ac:dyDescent="0.2"/>
    <row r="339" ht="12.75" hidden="1" x14ac:dyDescent="0.2"/>
    <row r="340" ht="12.75" hidden="1" x14ac:dyDescent="0.2"/>
    <row r="341" ht="12.75" hidden="1" x14ac:dyDescent="0.2"/>
    <row r="342" ht="12.75" hidden="1" x14ac:dyDescent="0.2"/>
    <row r="343" ht="12.75" hidden="1" x14ac:dyDescent="0.2"/>
    <row r="344" ht="12.75" hidden="1" x14ac:dyDescent="0.2"/>
    <row r="345" ht="12.75" hidden="1" x14ac:dyDescent="0.2"/>
    <row r="346" ht="12.75" hidden="1" x14ac:dyDescent="0.2"/>
    <row r="347" ht="12.75" hidden="1" x14ac:dyDescent="0.2"/>
    <row r="348" ht="12.75" hidden="1" x14ac:dyDescent="0.2"/>
    <row r="349" ht="12.75" hidden="1" x14ac:dyDescent="0.2"/>
    <row r="350" ht="12.75" hidden="1" x14ac:dyDescent="0.2"/>
    <row r="351" ht="12.75" hidden="1" x14ac:dyDescent="0.2"/>
    <row r="352" ht="12.75" hidden="1" x14ac:dyDescent="0.2"/>
    <row r="353" ht="12.75" hidden="1" x14ac:dyDescent="0.2"/>
    <row r="354" ht="12.75" hidden="1" x14ac:dyDescent="0.2"/>
    <row r="355" ht="12.75" hidden="1" x14ac:dyDescent="0.2"/>
    <row r="356" ht="12.75" hidden="1" x14ac:dyDescent="0.2"/>
    <row r="357" ht="12.75" hidden="1" x14ac:dyDescent="0.2"/>
    <row r="358" ht="12.75" hidden="1" x14ac:dyDescent="0.2"/>
    <row r="359" ht="12.75" hidden="1" x14ac:dyDescent="0.2"/>
    <row r="360" ht="12.75" hidden="1" x14ac:dyDescent="0.2"/>
    <row r="361" ht="12.75" hidden="1" x14ac:dyDescent="0.2"/>
    <row r="362" ht="12.75" hidden="1" x14ac:dyDescent="0.2"/>
    <row r="363" ht="12.75" hidden="1" x14ac:dyDescent="0.2"/>
    <row r="364" ht="12.75" hidden="1" x14ac:dyDescent="0.2"/>
    <row r="365" ht="12.75" hidden="1" x14ac:dyDescent="0.2"/>
    <row r="366" ht="12.75" hidden="1" x14ac:dyDescent="0.2"/>
    <row r="367" ht="12.75" hidden="1" x14ac:dyDescent="0.2"/>
    <row r="368" ht="12.75" hidden="1" x14ac:dyDescent="0.2"/>
    <row r="369" ht="12.75" hidden="1" x14ac:dyDescent="0.2"/>
    <row r="370" ht="12.75" hidden="1" x14ac:dyDescent="0.2"/>
    <row r="371" ht="12.75" hidden="1" x14ac:dyDescent="0.2"/>
    <row r="372" ht="12.75" hidden="1" x14ac:dyDescent="0.2"/>
    <row r="373" ht="12.75" hidden="1" x14ac:dyDescent="0.2"/>
    <row r="374" ht="12.75" hidden="1" x14ac:dyDescent="0.2"/>
    <row r="375" ht="12.75" hidden="1" x14ac:dyDescent="0.2"/>
    <row r="376" ht="12.75" hidden="1" x14ac:dyDescent="0.2"/>
    <row r="377" ht="12.75" hidden="1" x14ac:dyDescent="0.2"/>
    <row r="378" ht="12.75" hidden="1" x14ac:dyDescent="0.2"/>
    <row r="379" ht="12.75" hidden="1" x14ac:dyDescent="0.2"/>
    <row r="380" ht="12.75" hidden="1" x14ac:dyDescent="0.2"/>
    <row r="381" ht="12.75" hidden="1" x14ac:dyDescent="0.2"/>
    <row r="382" ht="12.75" hidden="1" x14ac:dyDescent="0.2"/>
    <row r="383" ht="12.75" hidden="1" x14ac:dyDescent="0.2"/>
    <row r="384" ht="12.75" hidden="1" x14ac:dyDescent="0.2"/>
    <row r="385" ht="12.75" hidden="1" x14ac:dyDescent="0.2"/>
    <row r="386" ht="12.75" hidden="1" x14ac:dyDescent="0.2"/>
    <row r="387" ht="12.75" hidden="1" x14ac:dyDescent="0.2"/>
    <row r="388" ht="12.75" hidden="1" x14ac:dyDescent="0.2"/>
    <row r="389" ht="12.75" hidden="1" x14ac:dyDescent="0.2"/>
    <row r="390" ht="12.75" hidden="1" x14ac:dyDescent="0.2"/>
    <row r="391" ht="12.75" hidden="1" x14ac:dyDescent="0.2"/>
    <row r="392" ht="12.75" hidden="1" x14ac:dyDescent="0.2"/>
    <row r="393" ht="12.75" hidden="1" x14ac:dyDescent="0.2"/>
    <row r="394" ht="12.75" hidden="1" x14ac:dyDescent="0.2"/>
    <row r="395" ht="12.75" hidden="1" x14ac:dyDescent="0.2"/>
    <row r="396" ht="12.75" hidden="1" x14ac:dyDescent="0.2"/>
    <row r="397" ht="12.75" hidden="1" x14ac:dyDescent="0.2"/>
    <row r="398" ht="12.75" hidden="1" x14ac:dyDescent="0.2"/>
    <row r="399" ht="12.75" hidden="1" x14ac:dyDescent="0.2"/>
    <row r="400" ht="12.75" hidden="1" x14ac:dyDescent="0.2"/>
    <row r="401" ht="12.75" hidden="1" x14ac:dyDescent="0.2"/>
    <row r="402" ht="12.75" hidden="1" x14ac:dyDescent="0.2"/>
    <row r="403" ht="12.75" hidden="1" x14ac:dyDescent="0.2"/>
    <row r="404" ht="12.75" hidden="1" x14ac:dyDescent="0.2"/>
    <row r="405" ht="12.75" hidden="1" x14ac:dyDescent="0.2"/>
    <row r="406" ht="12.75" hidden="1" x14ac:dyDescent="0.2"/>
    <row r="407" ht="12.75" hidden="1" x14ac:dyDescent="0.2"/>
    <row r="408" ht="12.75" hidden="1" x14ac:dyDescent="0.2"/>
    <row r="409" ht="12.75" hidden="1" x14ac:dyDescent="0.2"/>
    <row r="410" ht="12.75" hidden="1" x14ac:dyDescent="0.2"/>
    <row r="411" ht="12.75" hidden="1" x14ac:dyDescent="0.2"/>
    <row r="412" ht="12.75" hidden="1" x14ac:dyDescent="0.2"/>
    <row r="413" ht="12.75" hidden="1" x14ac:dyDescent="0.2"/>
    <row r="414" ht="12.75" hidden="1" x14ac:dyDescent="0.2"/>
    <row r="415" ht="12.75" hidden="1" x14ac:dyDescent="0.2"/>
    <row r="416" ht="12.75" hidden="1" x14ac:dyDescent="0.2"/>
    <row r="417" ht="12.75" hidden="1" x14ac:dyDescent="0.2"/>
    <row r="418" ht="12.75" hidden="1" x14ac:dyDescent="0.2"/>
    <row r="419" ht="12.75" hidden="1" x14ac:dyDescent="0.2"/>
    <row r="420" ht="12.75" hidden="1" x14ac:dyDescent="0.2"/>
    <row r="421" ht="12.75" hidden="1" x14ac:dyDescent="0.2"/>
    <row r="422" ht="12.75" hidden="1" x14ac:dyDescent="0.2"/>
    <row r="423" ht="12.75" hidden="1" x14ac:dyDescent="0.2"/>
    <row r="424" ht="12.75" hidden="1" x14ac:dyDescent="0.2"/>
    <row r="425" ht="12.75" hidden="1" x14ac:dyDescent="0.2"/>
    <row r="426" ht="12.75" hidden="1" x14ac:dyDescent="0.2"/>
    <row r="427" ht="12.75" hidden="1" x14ac:dyDescent="0.2"/>
    <row r="428" ht="12.75" hidden="1" x14ac:dyDescent="0.2"/>
    <row r="429" ht="12.75" hidden="1" x14ac:dyDescent="0.2"/>
    <row r="430" ht="12.75" hidden="1" x14ac:dyDescent="0.2"/>
    <row r="431" ht="12.75" hidden="1" x14ac:dyDescent="0.2"/>
    <row r="432" ht="12.75" hidden="1" x14ac:dyDescent="0.2"/>
    <row r="433" ht="12.75" hidden="1" x14ac:dyDescent="0.2"/>
    <row r="434" ht="12.75" hidden="1" x14ac:dyDescent="0.2"/>
    <row r="435" ht="12.75" hidden="1" x14ac:dyDescent="0.2"/>
    <row r="436" ht="12.75" hidden="1" x14ac:dyDescent="0.2"/>
    <row r="437" ht="12.75" hidden="1" x14ac:dyDescent="0.2"/>
    <row r="438" ht="12.75" hidden="1" x14ac:dyDescent="0.2"/>
    <row r="439" ht="12.75" hidden="1" x14ac:dyDescent="0.2"/>
    <row r="440" ht="12.75" hidden="1" x14ac:dyDescent="0.2"/>
    <row r="441" ht="12.75" hidden="1" x14ac:dyDescent="0.2"/>
    <row r="442" ht="12.75" hidden="1" x14ac:dyDescent="0.2"/>
    <row r="443" ht="12.75" hidden="1" x14ac:dyDescent="0.2"/>
    <row r="444" ht="12.75" hidden="1" x14ac:dyDescent="0.2"/>
    <row r="445" ht="12.75" hidden="1" x14ac:dyDescent="0.2"/>
    <row r="446" ht="12.75" hidden="1" x14ac:dyDescent="0.2"/>
    <row r="447" ht="12.75" hidden="1" x14ac:dyDescent="0.2"/>
    <row r="448" ht="12.75" hidden="1" x14ac:dyDescent="0.2"/>
    <row r="449" ht="12.75" hidden="1" x14ac:dyDescent="0.2"/>
    <row r="450" ht="12.75" hidden="1" x14ac:dyDescent="0.2"/>
    <row r="451" ht="12.75" hidden="1" x14ac:dyDescent="0.2"/>
    <row r="452" ht="12.75" hidden="1" x14ac:dyDescent="0.2"/>
    <row r="453" ht="12.75" hidden="1" x14ac:dyDescent="0.2"/>
    <row r="454" ht="12.75" hidden="1" x14ac:dyDescent="0.2"/>
    <row r="455" ht="12.75" hidden="1" x14ac:dyDescent="0.2"/>
    <row r="456" ht="12.75" hidden="1" x14ac:dyDescent="0.2"/>
    <row r="457" ht="12.75" hidden="1" x14ac:dyDescent="0.2"/>
    <row r="458" ht="12.75" hidden="1" x14ac:dyDescent="0.2"/>
    <row r="459" ht="12.75" hidden="1" x14ac:dyDescent="0.2"/>
    <row r="460" ht="12.75" hidden="1" x14ac:dyDescent="0.2"/>
    <row r="461" ht="12.75" hidden="1" x14ac:dyDescent="0.2"/>
    <row r="462" ht="12.75" hidden="1" x14ac:dyDescent="0.2"/>
    <row r="463" ht="12.75" hidden="1" x14ac:dyDescent="0.2"/>
    <row r="464" ht="12.75" hidden="1" x14ac:dyDescent="0.2"/>
    <row r="465" ht="12.75" hidden="1" x14ac:dyDescent="0.2"/>
    <row r="466" ht="12.75" hidden="1" x14ac:dyDescent="0.2"/>
    <row r="467" ht="12.75" hidden="1" x14ac:dyDescent="0.2"/>
    <row r="468" ht="12.75" hidden="1" x14ac:dyDescent="0.2"/>
    <row r="469" ht="12.75" hidden="1" x14ac:dyDescent="0.2"/>
    <row r="470" ht="12.75" hidden="1" x14ac:dyDescent="0.2"/>
    <row r="471" ht="12.75" hidden="1" x14ac:dyDescent="0.2"/>
    <row r="472" ht="12.75" hidden="1" x14ac:dyDescent="0.2"/>
    <row r="473" ht="12.75" hidden="1" x14ac:dyDescent="0.2"/>
    <row r="474" ht="12.75" hidden="1" x14ac:dyDescent="0.2"/>
    <row r="475" ht="12.75" hidden="1" x14ac:dyDescent="0.2"/>
    <row r="476" ht="12.75" hidden="1" x14ac:dyDescent="0.2"/>
    <row r="477" ht="12.75" hidden="1" x14ac:dyDescent="0.2"/>
    <row r="478" ht="12.75" hidden="1" x14ac:dyDescent="0.2"/>
    <row r="479" ht="12.75" hidden="1" x14ac:dyDescent="0.2"/>
    <row r="480" ht="12.75" hidden="1" x14ac:dyDescent="0.2"/>
    <row r="481" ht="12.75" hidden="1" x14ac:dyDescent="0.2"/>
    <row r="482" ht="12.75" hidden="1" x14ac:dyDescent="0.2"/>
    <row r="483" ht="12.75" hidden="1" x14ac:dyDescent="0.2"/>
    <row r="484" ht="12.75" hidden="1" x14ac:dyDescent="0.2"/>
    <row r="485" ht="12.75" hidden="1" x14ac:dyDescent="0.2"/>
    <row r="486" ht="12.75" hidden="1" x14ac:dyDescent="0.2"/>
    <row r="487" ht="12.75" hidden="1" x14ac:dyDescent="0.2"/>
    <row r="488" ht="12.75" hidden="1" x14ac:dyDescent="0.2"/>
    <row r="489" ht="12.75" hidden="1" x14ac:dyDescent="0.2"/>
    <row r="490" ht="12.75" hidden="1" x14ac:dyDescent="0.2"/>
    <row r="491" ht="12.75" hidden="1" x14ac:dyDescent="0.2"/>
    <row r="492" ht="12.75" hidden="1" x14ac:dyDescent="0.2"/>
    <row r="493" ht="12.75" hidden="1" x14ac:dyDescent="0.2"/>
    <row r="494" ht="12.75" hidden="1" x14ac:dyDescent="0.2"/>
    <row r="495" ht="12.75" hidden="1" x14ac:dyDescent="0.2"/>
    <row r="496" ht="12.75" hidden="1" x14ac:dyDescent="0.2"/>
    <row r="497" ht="12.75" hidden="1" x14ac:dyDescent="0.2"/>
    <row r="498" ht="12.75" hidden="1" x14ac:dyDescent="0.2"/>
    <row r="499" ht="12.75" hidden="1" x14ac:dyDescent="0.2"/>
    <row r="500" ht="12.75" hidden="1" x14ac:dyDescent="0.2"/>
    <row r="501" ht="12.75" hidden="1" x14ac:dyDescent="0.2"/>
    <row r="502" ht="12.75" hidden="1" x14ac:dyDescent="0.2"/>
    <row r="503" ht="12.75" hidden="1" x14ac:dyDescent="0.2"/>
    <row r="504" ht="12.75" hidden="1" x14ac:dyDescent="0.2"/>
    <row r="505" ht="12.75" hidden="1" x14ac:dyDescent="0.2"/>
    <row r="506" ht="12.75" hidden="1" x14ac:dyDescent="0.2"/>
    <row r="507" ht="12.75" hidden="1" x14ac:dyDescent="0.2"/>
    <row r="508" ht="12.75" hidden="1" x14ac:dyDescent="0.2"/>
    <row r="509" ht="12.75" hidden="1" x14ac:dyDescent="0.2"/>
    <row r="510" ht="12.75" hidden="1" x14ac:dyDescent="0.2"/>
    <row r="511" ht="12.75" hidden="1" x14ac:dyDescent="0.2"/>
    <row r="512" ht="12.75" hidden="1" x14ac:dyDescent="0.2"/>
    <row r="513" ht="12.75" hidden="1" x14ac:dyDescent="0.2"/>
    <row r="514" ht="12.75" hidden="1" x14ac:dyDescent="0.2"/>
    <row r="515" ht="12.75" hidden="1" x14ac:dyDescent="0.2"/>
    <row r="516" ht="12.75" hidden="1" x14ac:dyDescent="0.2"/>
    <row r="517" ht="12.75" hidden="1" x14ac:dyDescent="0.2"/>
    <row r="518" ht="12.75" hidden="1" x14ac:dyDescent="0.2"/>
    <row r="519" ht="12.75" hidden="1" x14ac:dyDescent="0.2"/>
    <row r="520" ht="12.75" hidden="1" x14ac:dyDescent="0.2"/>
    <row r="521" ht="12.75" hidden="1" x14ac:dyDescent="0.2"/>
    <row r="522" ht="12.75" hidden="1" x14ac:dyDescent="0.2"/>
    <row r="523" ht="12.75" hidden="1" x14ac:dyDescent="0.2"/>
    <row r="524" ht="12.75" hidden="1" x14ac:dyDescent="0.2"/>
    <row r="525" ht="12.75" hidden="1" x14ac:dyDescent="0.2"/>
    <row r="526" ht="12.75" hidden="1" x14ac:dyDescent="0.2"/>
    <row r="527" ht="12.75" hidden="1" x14ac:dyDescent="0.2"/>
    <row r="528" ht="12.75" hidden="1" x14ac:dyDescent="0.2"/>
    <row r="529" ht="12.75" hidden="1" x14ac:dyDescent="0.2"/>
    <row r="530" ht="12.75" hidden="1" x14ac:dyDescent="0.2"/>
    <row r="531" ht="12.75" hidden="1" x14ac:dyDescent="0.2"/>
    <row r="532" ht="12.75" hidden="1" x14ac:dyDescent="0.2"/>
    <row r="533" ht="12.75" hidden="1" x14ac:dyDescent="0.2"/>
    <row r="534" ht="12.75" hidden="1" x14ac:dyDescent="0.2"/>
    <row r="535" ht="12.75" hidden="1" x14ac:dyDescent="0.2"/>
    <row r="536" ht="12.75" hidden="1" x14ac:dyDescent="0.2"/>
    <row r="537" ht="12.75" hidden="1" x14ac:dyDescent="0.2"/>
    <row r="538" ht="12.75" hidden="1" x14ac:dyDescent="0.2"/>
    <row r="539" ht="12.75" hidden="1" x14ac:dyDescent="0.2"/>
    <row r="540" ht="12.75" hidden="1" x14ac:dyDescent="0.2"/>
    <row r="541" ht="12.75" hidden="1" x14ac:dyDescent="0.2"/>
    <row r="542" ht="12.75" hidden="1" x14ac:dyDescent="0.2"/>
    <row r="543" ht="12.75" hidden="1" x14ac:dyDescent="0.2"/>
    <row r="544" ht="12.75" hidden="1" x14ac:dyDescent="0.2"/>
    <row r="545" ht="12.75" hidden="1" x14ac:dyDescent="0.2"/>
    <row r="546" ht="12.75" hidden="1" x14ac:dyDescent="0.2"/>
    <row r="547" ht="12.75" hidden="1" x14ac:dyDescent="0.2"/>
    <row r="548" ht="12.75" hidden="1" x14ac:dyDescent="0.2"/>
    <row r="549" ht="12.75" hidden="1" x14ac:dyDescent="0.2"/>
    <row r="550" ht="12.75" hidden="1" x14ac:dyDescent="0.2"/>
    <row r="551" ht="12.75" hidden="1" x14ac:dyDescent="0.2"/>
    <row r="552" ht="12.75" hidden="1" x14ac:dyDescent="0.2"/>
    <row r="553" ht="12.75" hidden="1" x14ac:dyDescent="0.2"/>
    <row r="554" ht="12.75" hidden="1" x14ac:dyDescent="0.2"/>
    <row r="555" ht="12.75" hidden="1" x14ac:dyDescent="0.2"/>
    <row r="556" ht="12.75" hidden="1" x14ac:dyDescent="0.2"/>
    <row r="557" ht="12.75" hidden="1" x14ac:dyDescent="0.2"/>
    <row r="558" ht="12.75" hidden="1" x14ac:dyDescent="0.2"/>
    <row r="559" ht="12.75" hidden="1" x14ac:dyDescent="0.2"/>
    <row r="560" ht="12.75" hidden="1" x14ac:dyDescent="0.2"/>
    <row r="561" ht="12.75" hidden="1" x14ac:dyDescent="0.2"/>
    <row r="562" ht="12.75" hidden="1" x14ac:dyDescent="0.2"/>
    <row r="563" ht="12.75" hidden="1" x14ac:dyDescent="0.2"/>
    <row r="564" ht="12.75" hidden="1" x14ac:dyDescent="0.2"/>
    <row r="565" ht="12.75" hidden="1" x14ac:dyDescent="0.2"/>
    <row r="566" ht="12.75" hidden="1" x14ac:dyDescent="0.2"/>
    <row r="567" ht="12.75" hidden="1" x14ac:dyDescent="0.2"/>
    <row r="568" ht="12.75" hidden="1" x14ac:dyDescent="0.2"/>
    <row r="569" ht="12.75" hidden="1" x14ac:dyDescent="0.2"/>
    <row r="570" ht="12.75" hidden="1" x14ac:dyDescent="0.2"/>
    <row r="571" ht="12.75" hidden="1" x14ac:dyDescent="0.2"/>
    <row r="572" ht="12.75" hidden="1" x14ac:dyDescent="0.2"/>
    <row r="573" ht="12.75" hidden="1" x14ac:dyDescent="0.2"/>
    <row r="574" ht="12.75" hidden="1" x14ac:dyDescent="0.2"/>
    <row r="575" ht="12.75" hidden="1" x14ac:dyDescent="0.2"/>
    <row r="576" ht="12.75" hidden="1" x14ac:dyDescent="0.2"/>
    <row r="577" ht="12.75" hidden="1" x14ac:dyDescent="0.2"/>
    <row r="578" ht="12.75" hidden="1" x14ac:dyDescent="0.2"/>
    <row r="579" ht="12.75" hidden="1" x14ac:dyDescent="0.2"/>
    <row r="580" ht="12.75" hidden="1" x14ac:dyDescent="0.2"/>
    <row r="581" ht="12.75" hidden="1" x14ac:dyDescent="0.2"/>
    <row r="582" ht="12.75" hidden="1" x14ac:dyDescent="0.2"/>
    <row r="583" ht="12.75" hidden="1" x14ac:dyDescent="0.2"/>
    <row r="584" ht="12.75" hidden="1" x14ac:dyDescent="0.2"/>
    <row r="585" ht="12.75" hidden="1" x14ac:dyDescent="0.2"/>
    <row r="586" ht="12.75" hidden="1" x14ac:dyDescent="0.2"/>
    <row r="587" ht="12.75" hidden="1" x14ac:dyDescent="0.2"/>
    <row r="588" ht="12.75" hidden="1" x14ac:dyDescent="0.2"/>
    <row r="589" ht="12.75" hidden="1" x14ac:dyDescent="0.2"/>
    <row r="590" ht="12.75" hidden="1" x14ac:dyDescent="0.2"/>
    <row r="591" ht="12.75" hidden="1" x14ac:dyDescent="0.2"/>
    <row r="592" ht="12.75" hidden="1" x14ac:dyDescent="0.2"/>
    <row r="593" ht="12.75" hidden="1" x14ac:dyDescent="0.2"/>
    <row r="594" ht="12.75" hidden="1" x14ac:dyDescent="0.2"/>
    <row r="595" ht="12.75" hidden="1" x14ac:dyDescent="0.2"/>
    <row r="596" ht="12.75" hidden="1" x14ac:dyDescent="0.2"/>
    <row r="597" ht="12.75" hidden="1" x14ac:dyDescent="0.2"/>
    <row r="598" ht="12.75" hidden="1" x14ac:dyDescent="0.2"/>
    <row r="599" ht="12.75" hidden="1" x14ac:dyDescent="0.2"/>
    <row r="600" ht="12.75" hidden="1" x14ac:dyDescent="0.2"/>
    <row r="601" ht="12.75" hidden="1" x14ac:dyDescent="0.2"/>
    <row r="602" ht="12.75" hidden="1" x14ac:dyDescent="0.2"/>
    <row r="603" ht="12.75" hidden="1" x14ac:dyDescent="0.2"/>
    <row r="604" ht="12.75" hidden="1" x14ac:dyDescent="0.2"/>
    <row r="605" ht="12.75" hidden="1" x14ac:dyDescent="0.2"/>
    <row r="606" ht="12.75" hidden="1" x14ac:dyDescent="0.2"/>
    <row r="607" ht="12.75" hidden="1" x14ac:dyDescent="0.2"/>
    <row r="608" ht="12.75" hidden="1" x14ac:dyDescent="0.2"/>
    <row r="609" ht="12.75" hidden="1" x14ac:dyDescent="0.2"/>
    <row r="610" ht="12.75" hidden="1" x14ac:dyDescent="0.2"/>
    <row r="611" ht="12.75" hidden="1" x14ac:dyDescent="0.2"/>
    <row r="612" ht="12.75" hidden="1" x14ac:dyDescent="0.2"/>
    <row r="613" ht="12.75" hidden="1" x14ac:dyDescent="0.2"/>
    <row r="614" ht="12.75" hidden="1" x14ac:dyDescent="0.2"/>
    <row r="615" ht="12.75" hidden="1" x14ac:dyDescent="0.2"/>
    <row r="616" ht="12.75" hidden="1" x14ac:dyDescent="0.2"/>
    <row r="617" ht="12.75" hidden="1" x14ac:dyDescent="0.2"/>
    <row r="618" ht="12.75" hidden="1" x14ac:dyDescent="0.2"/>
    <row r="619" ht="12.75" hidden="1" x14ac:dyDescent="0.2"/>
    <row r="620" ht="12.75" hidden="1" x14ac:dyDescent="0.2"/>
    <row r="621" ht="12.75" hidden="1" x14ac:dyDescent="0.2"/>
    <row r="622" ht="12.75" hidden="1" x14ac:dyDescent="0.2"/>
    <row r="623" ht="12.75" hidden="1" x14ac:dyDescent="0.2"/>
    <row r="624" ht="12.75" hidden="1" x14ac:dyDescent="0.2"/>
    <row r="625" ht="12.75" hidden="1" x14ac:dyDescent="0.2"/>
    <row r="626" ht="12.75" hidden="1" x14ac:dyDescent="0.2"/>
    <row r="627" ht="12.75" hidden="1" x14ac:dyDescent="0.2"/>
    <row r="628" ht="12.75" hidden="1" x14ac:dyDescent="0.2"/>
    <row r="629" ht="12.75" hidden="1" x14ac:dyDescent="0.2"/>
    <row r="630" ht="12.75" hidden="1" x14ac:dyDescent="0.2"/>
    <row r="631" ht="12.75" hidden="1" x14ac:dyDescent="0.2"/>
    <row r="632" ht="12.75" hidden="1" x14ac:dyDescent="0.2"/>
    <row r="633" ht="12.75" hidden="1" x14ac:dyDescent="0.2"/>
    <row r="634" ht="12.75" hidden="1" x14ac:dyDescent="0.2"/>
    <row r="635" ht="12.75" hidden="1" x14ac:dyDescent="0.2"/>
    <row r="636" ht="12.75" hidden="1" x14ac:dyDescent="0.2"/>
    <row r="637" ht="12.75" hidden="1" x14ac:dyDescent="0.2"/>
    <row r="638" ht="12.75" hidden="1" x14ac:dyDescent="0.2"/>
    <row r="639" ht="12.75" hidden="1" x14ac:dyDescent="0.2"/>
    <row r="640" ht="12.75" hidden="1" x14ac:dyDescent="0.2"/>
    <row r="641" ht="12.75" hidden="1" x14ac:dyDescent="0.2"/>
    <row r="642" ht="12.75" hidden="1" x14ac:dyDescent="0.2"/>
    <row r="643" ht="12.75" hidden="1" x14ac:dyDescent="0.2"/>
    <row r="644" ht="12.75" hidden="1" x14ac:dyDescent="0.2"/>
    <row r="645" ht="12.75" hidden="1" x14ac:dyDescent="0.2"/>
    <row r="646" ht="12.75" hidden="1" x14ac:dyDescent="0.2"/>
    <row r="647" ht="12.75" hidden="1" x14ac:dyDescent="0.2"/>
    <row r="648" ht="12.75" hidden="1" x14ac:dyDescent="0.2"/>
    <row r="649" ht="12.75" hidden="1" x14ac:dyDescent="0.2"/>
    <row r="650" ht="12.75" hidden="1" x14ac:dyDescent="0.2"/>
    <row r="651" ht="12.75" hidden="1" x14ac:dyDescent="0.2"/>
    <row r="652" ht="12.75" hidden="1" x14ac:dyDescent="0.2"/>
    <row r="653" ht="12.75" hidden="1" x14ac:dyDescent="0.2"/>
    <row r="654" ht="12.75" hidden="1" x14ac:dyDescent="0.2"/>
    <row r="655" ht="12.75" hidden="1" x14ac:dyDescent="0.2"/>
    <row r="656" ht="12.75" hidden="1" x14ac:dyDescent="0.2"/>
    <row r="657" ht="12.75" hidden="1" x14ac:dyDescent="0.2"/>
    <row r="658" ht="12.75" hidden="1" x14ac:dyDescent="0.2"/>
    <row r="659" ht="12.75" hidden="1" x14ac:dyDescent="0.2"/>
    <row r="660" ht="12.75" hidden="1" x14ac:dyDescent="0.2"/>
    <row r="661" ht="12.75" hidden="1" x14ac:dyDescent="0.2"/>
    <row r="662" ht="12.75" hidden="1" x14ac:dyDescent="0.2"/>
    <row r="663" ht="12.75" hidden="1" x14ac:dyDescent="0.2"/>
    <row r="664" ht="12.75" hidden="1" x14ac:dyDescent="0.2"/>
    <row r="665" ht="12.75" hidden="1" x14ac:dyDescent="0.2"/>
    <row r="666" ht="12.75" hidden="1" x14ac:dyDescent="0.2"/>
    <row r="667" ht="12.75" hidden="1" x14ac:dyDescent="0.2"/>
    <row r="668" ht="12.75" hidden="1" x14ac:dyDescent="0.2"/>
    <row r="669" ht="12.75" hidden="1" x14ac:dyDescent="0.2"/>
    <row r="670" ht="12.75" hidden="1" x14ac:dyDescent="0.2"/>
    <row r="671" ht="12.75" hidden="1" x14ac:dyDescent="0.2"/>
    <row r="672" ht="12.75" hidden="1" x14ac:dyDescent="0.2"/>
    <row r="673" ht="12.75" hidden="1" x14ac:dyDescent="0.2"/>
    <row r="674" ht="12.75" hidden="1" x14ac:dyDescent="0.2"/>
    <row r="675" ht="12.75" hidden="1" x14ac:dyDescent="0.2"/>
    <row r="676" ht="12.75" hidden="1" x14ac:dyDescent="0.2"/>
    <row r="677" ht="12.75" hidden="1" x14ac:dyDescent="0.2"/>
    <row r="678" ht="12.75" hidden="1" x14ac:dyDescent="0.2"/>
    <row r="679" ht="12.75" hidden="1" x14ac:dyDescent="0.2"/>
    <row r="680" ht="12.75" hidden="1" x14ac:dyDescent="0.2"/>
    <row r="681" ht="12.75" hidden="1" x14ac:dyDescent="0.2"/>
    <row r="682" ht="12.75" hidden="1" x14ac:dyDescent="0.2"/>
    <row r="683" ht="12.75" hidden="1" x14ac:dyDescent="0.2"/>
    <row r="684" ht="12.75" hidden="1" x14ac:dyDescent="0.2"/>
    <row r="685" ht="12.75" hidden="1" x14ac:dyDescent="0.2"/>
    <row r="686" ht="12.75" hidden="1" x14ac:dyDescent="0.2"/>
    <row r="687" ht="12.75" hidden="1" x14ac:dyDescent="0.2"/>
    <row r="688" ht="12.75" hidden="1" x14ac:dyDescent="0.2"/>
    <row r="689" ht="12.75" hidden="1" x14ac:dyDescent="0.2"/>
    <row r="690" ht="12.75" hidden="1" x14ac:dyDescent="0.2"/>
    <row r="691" ht="12.75" hidden="1" x14ac:dyDescent="0.2"/>
    <row r="692" ht="12.75" hidden="1" x14ac:dyDescent="0.2"/>
    <row r="693" ht="12.75" hidden="1" x14ac:dyDescent="0.2"/>
    <row r="694" ht="12.75" hidden="1" x14ac:dyDescent="0.2"/>
    <row r="695" ht="12.75" hidden="1" x14ac:dyDescent="0.2"/>
    <row r="696" ht="12.75" hidden="1" x14ac:dyDescent="0.2"/>
    <row r="697" ht="12.75" hidden="1" x14ac:dyDescent="0.2"/>
    <row r="698" ht="12.75" hidden="1" x14ac:dyDescent="0.2"/>
    <row r="699" ht="12.75" hidden="1" x14ac:dyDescent="0.2"/>
    <row r="700" ht="12.75" hidden="1" x14ac:dyDescent="0.2"/>
    <row r="701" ht="12.75" hidden="1" x14ac:dyDescent="0.2"/>
    <row r="702" ht="12.75" hidden="1" x14ac:dyDescent="0.2"/>
    <row r="703" ht="12.75" hidden="1" x14ac:dyDescent="0.2"/>
    <row r="704" ht="12.75" hidden="1" x14ac:dyDescent="0.2"/>
    <row r="705" ht="12.75" hidden="1" x14ac:dyDescent="0.2"/>
    <row r="706" ht="12.75" hidden="1" x14ac:dyDescent="0.2"/>
    <row r="707" ht="12.75" hidden="1" x14ac:dyDescent="0.2"/>
    <row r="708" ht="12.75" hidden="1" x14ac:dyDescent="0.2"/>
    <row r="709" ht="12.75" hidden="1" x14ac:dyDescent="0.2"/>
    <row r="710" ht="12.75" hidden="1" x14ac:dyDescent="0.2"/>
    <row r="711" ht="12.75" hidden="1" x14ac:dyDescent="0.2"/>
    <row r="712" ht="12.75" hidden="1" x14ac:dyDescent="0.2"/>
    <row r="713" ht="12.75" hidden="1" x14ac:dyDescent="0.2"/>
    <row r="714" ht="12.75" hidden="1" x14ac:dyDescent="0.2"/>
    <row r="715" ht="12.75" hidden="1" x14ac:dyDescent="0.2"/>
    <row r="716" ht="12.75" hidden="1" x14ac:dyDescent="0.2"/>
    <row r="717" ht="12.75" hidden="1" x14ac:dyDescent="0.2"/>
    <row r="718" ht="12.75" hidden="1" x14ac:dyDescent="0.2"/>
    <row r="719" ht="12.75" hidden="1" x14ac:dyDescent="0.2"/>
    <row r="720" ht="12.75" hidden="1" x14ac:dyDescent="0.2"/>
    <row r="721" ht="12.75" hidden="1" x14ac:dyDescent="0.2"/>
    <row r="722" ht="12.75" hidden="1" x14ac:dyDescent="0.2"/>
    <row r="723" ht="12.75" hidden="1" x14ac:dyDescent="0.2"/>
    <row r="724" ht="12.75" hidden="1" x14ac:dyDescent="0.2"/>
    <row r="725" ht="12.75" hidden="1" x14ac:dyDescent="0.2"/>
    <row r="726" ht="12.75" hidden="1" x14ac:dyDescent="0.2"/>
    <row r="727" ht="12.75" hidden="1" x14ac:dyDescent="0.2"/>
    <row r="728" ht="12.75" hidden="1" x14ac:dyDescent="0.2"/>
    <row r="729" ht="12.75" hidden="1" x14ac:dyDescent="0.2"/>
    <row r="730" ht="12.75" hidden="1" x14ac:dyDescent="0.2"/>
    <row r="731" ht="12.75" hidden="1" x14ac:dyDescent="0.2"/>
    <row r="732" ht="12.75" hidden="1" x14ac:dyDescent="0.2"/>
    <row r="733" ht="12.75" hidden="1" x14ac:dyDescent="0.2"/>
    <row r="734" ht="12.75" hidden="1" x14ac:dyDescent="0.2"/>
    <row r="735" ht="12.75" hidden="1" x14ac:dyDescent="0.2"/>
    <row r="736" ht="12.75" hidden="1" x14ac:dyDescent="0.2"/>
    <row r="737" ht="12.75" hidden="1" x14ac:dyDescent="0.2"/>
    <row r="738" ht="12.75" hidden="1" x14ac:dyDescent="0.2"/>
    <row r="739" ht="12.75" hidden="1" x14ac:dyDescent="0.2"/>
    <row r="740" ht="12.75" hidden="1" x14ac:dyDescent="0.2"/>
    <row r="741" ht="12.75" hidden="1" x14ac:dyDescent="0.2"/>
    <row r="742" ht="12.75" hidden="1" x14ac:dyDescent="0.2"/>
    <row r="743" ht="12.75" hidden="1" x14ac:dyDescent="0.2"/>
    <row r="744" ht="12.75" hidden="1" x14ac:dyDescent="0.2"/>
    <row r="745" ht="12.75" hidden="1" x14ac:dyDescent="0.2"/>
    <row r="746" ht="12.75" hidden="1" x14ac:dyDescent="0.2"/>
    <row r="747" ht="12.75" hidden="1" x14ac:dyDescent="0.2"/>
    <row r="748" ht="12.75" hidden="1" x14ac:dyDescent="0.2"/>
    <row r="749" ht="12.75" hidden="1" x14ac:dyDescent="0.2"/>
    <row r="750" ht="12.75" hidden="1" x14ac:dyDescent="0.2"/>
    <row r="751" ht="12.75" hidden="1" x14ac:dyDescent="0.2"/>
    <row r="752" ht="12.75" hidden="1" x14ac:dyDescent="0.2"/>
    <row r="753" ht="12.75" hidden="1" x14ac:dyDescent="0.2"/>
    <row r="754" ht="12.75" hidden="1" x14ac:dyDescent="0.2"/>
    <row r="755" ht="12.75" hidden="1" x14ac:dyDescent="0.2"/>
    <row r="756" ht="12.75" hidden="1" x14ac:dyDescent="0.2"/>
    <row r="757" ht="12.75" hidden="1" x14ac:dyDescent="0.2"/>
    <row r="758" ht="12.75" hidden="1" x14ac:dyDescent="0.2"/>
    <row r="759" ht="12.75" hidden="1" x14ac:dyDescent="0.2"/>
    <row r="760" ht="12.75" hidden="1" x14ac:dyDescent="0.2"/>
    <row r="761" ht="12.75" hidden="1" x14ac:dyDescent="0.2"/>
    <row r="762" ht="12.75" hidden="1" x14ac:dyDescent="0.2"/>
    <row r="763" ht="12.75" hidden="1" x14ac:dyDescent="0.2"/>
    <row r="764" ht="12.75" hidden="1" x14ac:dyDescent="0.2"/>
    <row r="765" ht="12.75" hidden="1" x14ac:dyDescent="0.2"/>
    <row r="766" ht="12.75" hidden="1" x14ac:dyDescent="0.2"/>
    <row r="767" ht="12.75" hidden="1" x14ac:dyDescent="0.2"/>
    <row r="768" ht="12.75" hidden="1" x14ac:dyDescent="0.2"/>
    <row r="769" ht="12.75" hidden="1" x14ac:dyDescent="0.2"/>
    <row r="770" ht="12.75" hidden="1" x14ac:dyDescent="0.2"/>
    <row r="771" ht="12.75" hidden="1" x14ac:dyDescent="0.2"/>
    <row r="772" ht="12.75" hidden="1" x14ac:dyDescent="0.2"/>
    <row r="773" ht="12.75" hidden="1" x14ac:dyDescent="0.2"/>
    <row r="774" ht="12.75" hidden="1" x14ac:dyDescent="0.2"/>
    <row r="775" ht="12.75" hidden="1" x14ac:dyDescent="0.2"/>
    <row r="776" ht="12.75" hidden="1" x14ac:dyDescent="0.2"/>
    <row r="777" ht="12.75" hidden="1" x14ac:dyDescent="0.2"/>
    <row r="778" ht="12.75" hidden="1" x14ac:dyDescent="0.2"/>
    <row r="779" ht="12.75" hidden="1" x14ac:dyDescent="0.2"/>
    <row r="780" ht="12.75" hidden="1" x14ac:dyDescent="0.2"/>
    <row r="781" ht="12.75" hidden="1" x14ac:dyDescent="0.2"/>
    <row r="782" ht="12.75" hidden="1" x14ac:dyDescent="0.2"/>
    <row r="783" ht="12.75" hidden="1" x14ac:dyDescent="0.2"/>
    <row r="784" ht="12.75" hidden="1" x14ac:dyDescent="0.2"/>
    <row r="785" ht="12.75" hidden="1" x14ac:dyDescent="0.2"/>
    <row r="786" ht="12.75" hidden="1" x14ac:dyDescent="0.2"/>
    <row r="787" ht="12.75" hidden="1" x14ac:dyDescent="0.2"/>
    <row r="788" ht="12.75" hidden="1" x14ac:dyDescent="0.2"/>
    <row r="789" ht="12.75" hidden="1" x14ac:dyDescent="0.2"/>
    <row r="790" ht="12.75" hidden="1" x14ac:dyDescent="0.2"/>
    <row r="791" ht="12.75" hidden="1" x14ac:dyDescent="0.2"/>
    <row r="792" ht="12.75" hidden="1" x14ac:dyDescent="0.2"/>
    <row r="793" ht="12.75" hidden="1" x14ac:dyDescent="0.2"/>
    <row r="794" ht="12.75" hidden="1" x14ac:dyDescent="0.2"/>
    <row r="795" ht="12.75" hidden="1" x14ac:dyDescent="0.2"/>
    <row r="796" ht="12.75" hidden="1" x14ac:dyDescent="0.2"/>
    <row r="797" ht="12.75" hidden="1" x14ac:dyDescent="0.2"/>
    <row r="798" ht="12.75" hidden="1" x14ac:dyDescent="0.2"/>
    <row r="799" ht="12.75" hidden="1" x14ac:dyDescent="0.2"/>
    <row r="800" ht="12.75" hidden="1" x14ac:dyDescent="0.2"/>
    <row r="801" ht="12.75" hidden="1" x14ac:dyDescent="0.2"/>
    <row r="802" ht="12.75" hidden="1" x14ac:dyDescent="0.2"/>
    <row r="803" ht="12.75" hidden="1" x14ac:dyDescent="0.2"/>
    <row r="804" ht="12.75" hidden="1" x14ac:dyDescent="0.2"/>
    <row r="805" ht="12.75" hidden="1" x14ac:dyDescent="0.2"/>
    <row r="806" ht="12.75" hidden="1" x14ac:dyDescent="0.2"/>
    <row r="807" ht="12.75" hidden="1" x14ac:dyDescent="0.2"/>
    <row r="808" ht="12.75" hidden="1" x14ac:dyDescent="0.2"/>
    <row r="809" ht="12.75" hidden="1" x14ac:dyDescent="0.2"/>
    <row r="810" ht="12.75" hidden="1" x14ac:dyDescent="0.2"/>
    <row r="811" ht="12.75" hidden="1" x14ac:dyDescent="0.2"/>
    <row r="812" ht="12.75" hidden="1" x14ac:dyDescent="0.2"/>
    <row r="813" ht="12.75" hidden="1" x14ac:dyDescent="0.2"/>
    <row r="814" ht="12.75" hidden="1" x14ac:dyDescent="0.2"/>
    <row r="815" ht="12.75" hidden="1" x14ac:dyDescent="0.2"/>
    <row r="816" ht="12.75" hidden="1" x14ac:dyDescent="0.2"/>
    <row r="817" ht="12.75" hidden="1" x14ac:dyDescent="0.2"/>
    <row r="818" ht="12.75" hidden="1" x14ac:dyDescent="0.2"/>
    <row r="819" ht="12.75" hidden="1" x14ac:dyDescent="0.2"/>
    <row r="820" ht="12.75" hidden="1" x14ac:dyDescent="0.2"/>
    <row r="821" ht="12.75" hidden="1" x14ac:dyDescent="0.2"/>
    <row r="822" ht="12.75" hidden="1" x14ac:dyDescent="0.2"/>
    <row r="823" ht="12.75" hidden="1" x14ac:dyDescent="0.2"/>
    <row r="824" ht="12.75" hidden="1" x14ac:dyDescent="0.2"/>
    <row r="825" ht="12.75" hidden="1" x14ac:dyDescent="0.2"/>
    <row r="826" ht="12.75" hidden="1" x14ac:dyDescent="0.2"/>
    <row r="827" ht="12.75" hidden="1" x14ac:dyDescent="0.2"/>
    <row r="828" ht="12.75" hidden="1" x14ac:dyDescent="0.2"/>
    <row r="829" ht="12.75" hidden="1" x14ac:dyDescent="0.2"/>
    <row r="830" ht="12.75" hidden="1" x14ac:dyDescent="0.2"/>
    <row r="831" ht="12.75" hidden="1" x14ac:dyDescent="0.2"/>
    <row r="832" ht="12.75" hidden="1" x14ac:dyDescent="0.2"/>
    <row r="833" ht="12.75" hidden="1" x14ac:dyDescent="0.2"/>
    <row r="834" ht="12.75" hidden="1" x14ac:dyDescent="0.2"/>
    <row r="835" ht="12.75" hidden="1" x14ac:dyDescent="0.2"/>
    <row r="836" ht="12.75" hidden="1" x14ac:dyDescent="0.2"/>
    <row r="837" ht="12.75" hidden="1" x14ac:dyDescent="0.2"/>
    <row r="838" ht="12.75" hidden="1" x14ac:dyDescent="0.2"/>
    <row r="839" ht="12.75" hidden="1" x14ac:dyDescent="0.2"/>
    <row r="840" ht="12.75" hidden="1" x14ac:dyDescent="0.2"/>
    <row r="841" ht="12.75" hidden="1" x14ac:dyDescent="0.2"/>
    <row r="842" ht="12.75" hidden="1" x14ac:dyDescent="0.2"/>
    <row r="843" ht="12.75" hidden="1" x14ac:dyDescent="0.2"/>
    <row r="844" ht="12.75" hidden="1" x14ac:dyDescent="0.2"/>
    <row r="845" ht="12.75" hidden="1" x14ac:dyDescent="0.2"/>
    <row r="846" ht="12.75" hidden="1" x14ac:dyDescent="0.2"/>
    <row r="847" ht="12.75" hidden="1" x14ac:dyDescent="0.2"/>
    <row r="848" ht="12.75" hidden="1" x14ac:dyDescent="0.2"/>
    <row r="849" ht="12.75" hidden="1" x14ac:dyDescent="0.2"/>
    <row r="850" ht="12.75" hidden="1" x14ac:dyDescent="0.2"/>
    <row r="851" ht="12.75" hidden="1" x14ac:dyDescent="0.2"/>
    <row r="852" ht="12.75" hidden="1" x14ac:dyDescent="0.2"/>
    <row r="853" ht="12.75" hidden="1" x14ac:dyDescent="0.2"/>
    <row r="854" ht="12.75" hidden="1" x14ac:dyDescent="0.2"/>
    <row r="855" ht="12.75" hidden="1" x14ac:dyDescent="0.2"/>
    <row r="856" ht="12.75" hidden="1" x14ac:dyDescent="0.2"/>
    <row r="857" ht="12.75" hidden="1" x14ac:dyDescent="0.2"/>
    <row r="858" ht="12.75" hidden="1" x14ac:dyDescent="0.2"/>
    <row r="859" ht="12.75" hidden="1" x14ac:dyDescent="0.2"/>
    <row r="860" ht="12.75" hidden="1" x14ac:dyDescent="0.2"/>
    <row r="861" ht="12.75" hidden="1" x14ac:dyDescent="0.2"/>
    <row r="862" ht="12.75" hidden="1" x14ac:dyDescent="0.2"/>
    <row r="863" ht="12.75" hidden="1" x14ac:dyDescent="0.2"/>
    <row r="864" ht="12.75" hidden="1" x14ac:dyDescent="0.2"/>
    <row r="865" ht="12.75" hidden="1" x14ac:dyDescent="0.2"/>
    <row r="866" ht="12.75" hidden="1" x14ac:dyDescent="0.2"/>
    <row r="867" ht="12.75" hidden="1" x14ac:dyDescent="0.2"/>
    <row r="868" ht="12.75" hidden="1" x14ac:dyDescent="0.2"/>
    <row r="869" ht="12.75" hidden="1" x14ac:dyDescent="0.2"/>
    <row r="870" ht="12.75" hidden="1" x14ac:dyDescent="0.2"/>
    <row r="871" ht="12.75" hidden="1" x14ac:dyDescent="0.2"/>
    <row r="872" ht="12.75" hidden="1" x14ac:dyDescent="0.2"/>
    <row r="873" ht="12.75" hidden="1" x14ac:dyDescent="0.2"/>
    <row r="874" ht="12.75" hidden="1" x14ac:dyDescent="0.2"/>
    <row r="875" ht="12.75" hidden="1" x14ac:dyDescent="0.2"/>
    <row r="876" ht="12.75" hidden="1" x14ac:dyDescent="0.2"/>
    <row r="877" ht="12.75" hidden="1" x14ac:dyDescent="0.2"/>
    <row r="878" ht="12.75" hidden="1" x14ac:dyDescent="0.2"/>
    <row r="879" ht="12.75" hidden="1" x14ac:dyDescent="0.2"/>
    <row r="880" ht="12.75" hidden="1" x14ac:dyDescent="0.2"/>
    <row r="881" ht="12.75" hidden="1" x14ac:dyDescent="0.2"/>
    <row r="882" ht="12.75" hidden="1" x14ac:dyDescent="0.2"/>
    <row r="883" ht="12.75" hidden="1" x14ac:dyDescent="0.2"/>
    <row r="884" ht="12.75" hidden="1" x14ac:dyDescent="0.2"/>
    <row r="885" ht="12.75" hidden="1" x14ac:dyDescent="0.2"/>
    <row r="886" ht="12.75" hidden="1" x14ac:dyDescent="0.2"/>
    <row r="887" ht="12.75" hidden="1" x14ac:dyDescent="0.2"/>
    <row r="888" ht="12.75" hidden="1" x14ac:dyDescent="0.2"/>
    <row r="889" ht="12.75" hidden="1" x14ac:dyDescent="0.2"/>
    <row r="890" ht="12.75" hidden="1" x14ac:dyDescent="0.2"/>
    <row r="891" ht="12.75" hidden="1" x14ac:dyDescent="0.2"/>
    <row r="892" ht="12.75" hidden="1" x14ac:dyDescent="0.2"/>
    <row r="893" ht="12.75" hidden="1" x14ac:dyDescent="0.2"/>
    <row r="894" ht="12.75" hidden="1" x14ac:dyDescent="0.2"/>
    <row r="895" ht="12.75" hidden="1" x14ac:dyDescent="0.2"/>
    <row r="896" ht="12.75" hidden="1" x14ac:dyDescent="0.2"/>
    <row r="897" ht="12.75" hidden="1" x14ac:dyDescent="0.2"/>
    <row r="898" ht="12.75" hidden="1" x14ac:dyDescent="0.2"/>
    <row r="899" ht="12.75" hidden="1" x14ac:dyDescent="0.2"/>
    <row r="900" ht="12.75" hidden="1" x14ac:dyDescent="0.2"/>
    <row r="901" ht="12.75" hidden="1" x14ac:dyDescent="0.2"/>
    <row r="902" ht="12.75" hidden="1" x14ac:dyDescent="0.2"/>
    <row r="903" ht="12.75" hidden="1" x14ac:dyDescent="0.2"/>
    <row r="904" ht="12.75" hidden="1" x14ac:dyDescent="0.2"/>
    <row r="905" ht="12.75" hidden="1" x14ac:dyDescent="0.2"/>
    <row r="906" ht="12.75" hidden="1" x14ac:dyDescent="0.2"/>
    <row r="907" ht="12.75" hidden="1" x14ac:dyDescent="0.2"/>
    <row r="908" ht="12.75" hidden="1" x14ac:dyDescent="0.2"/>
    <row r="909" ht="12.75" hidden="1" x14ac:dyDescent="0.2"/>
    <row r="910" ht="12.75" hidden="1" x14ac:dyDescent="0.2"/>
    <row r="911" ht="12.75" hidden="1" x14ac:dyDescent="0.2"/>
    <row r="912" ht="12.75" hidden="1" x14ac:dyDescent="0.2"/>
    <row r="913" ht="12.75" hidden="1" x14ac:dyDescent="0.2"/>
    <row r="914" ht="12.75" hidden="1" x14ac:dyDescent="0.2"/>
    <row r="915" ht="12.75" hidden="1" x14ac:dyDescent="0.2"/>
    <row r="916" ht="12.75" hidden="1" x14ac:dyDescent="0.2"/>
    <row r="917" ht="12.75" hidden="1" x14ac:dyDescent="0.2"/>
    <row r="918" ht="12.75" hidden="1" x14ac:dyDescent="0.2"/>
    <row r="919" ht="12.75" hidden="1" x14ac:dyDescent="0.2"/>
    <row r="920" ht="12.75" hidden="1" x14ac:dyDescent="0.2"/>
    <row r="921" ht="12.75" hidden="1" x14ac:dyDescent="0.2"/>
    <row r="922" ht="12.75" hidden="1" x14ac:dyDescent="0.2"/>
    <row r="923" ht="12.75" hidden="1" x14ac:dyDescent="0.2"/>
    <row r="924" ht="12.75" hidden="1" x14ac:dyDescent="0.2"/>
    <row r="925" ht="12.75" hidden="1" x14ac:dyDescent="0.2"/>
    <row r="926" ht="12.75" hidden="1" x14ac:dyDescent="0.2"/>
    <row r="927" ht="12.75" hidden="1" x14ac:dyDescent="0.2"/>
    <row r="928" ht="12.75" hidden="1" x14ac:dyDescent="0.2"/>
    <row r="929" ht="12.75" hidden="1" x14ac:dyDescent="0.2"/>
    <row r="930" ht="12.75" hidden="1" x14ac:dyDescent="0.2"/>
    <row r="931" ht="12.75" hidden="1" x14ac:dyDescent="0.2"/>
    <row r="932" ht="12.75" hidden="1" x14ac:dyDescent="0.2"/>
    <row r="933" ht="12.75" hidden="1" x14ac:dyDescent="0.2"/>
    <row r="934" ht="12.75" hidden="1" x14ac:dyDescent="0.2"/>
    <row r="935" ht="12.75" hidden="1" x14ac:dyDescent="0.2"/>
    <row r="936" ht="12.75" hidden="1" x14ac:dyDescent="0.2"/>
    <row r="937" ht="12.75" hidden="1" x14ac:dyDescent="0.2"/>
    <row r="938" ht="12.75" hidden="1" x14ac:dyDescent="0.2"/>
    <row r="939" ht="12.75" hidden="1" x14ac:dyDescent="0.2"/>
    <row r="940" ht="12.75" hidden="1" x14ac:dyDescent="0.2"/>
    <row r="941" ht="12.75" hidden="1" x14ac:dyDescent="0.2"/>
    <row r="942" ht="12.75" hidden="1" x14ac:dyDescent="0.2"/>
    <row r="943" ht="12.75" hidden="1" x14ac:dyDescent="0.2"/>
    <row r="944" ht="12.75" hidden="1" x14ac:dyDescent="0.2"/>
    <row r="945" ht="12.75" hidden="1" x14ac:dyDescent="0.2"/>
    <row r="946" ht="12.75" hidden="1" x14ac:dyDescent="0.2"/>
    <row r="947" ht="12.75" hidden="1" x14ac:dyDescent="0.2"/>
    <row r="948" ht="12.75" hidden="1" x14ac:dyDescent="0.2"/>
    <row r="949" ht="12.75" hidden="1" x14ac:dyDescent="0.2"/>
    <row r="950" ht="12.75" hidden="1" x14ac:dyDescent="0.2"/>
    <row r="951" ht="12.75" hidden="1" x14ac:dyDescent="0.2"/>
    <row r="952" ht="12.75" hidden="1" x14ac:dyDescent="0.2"/>
    <row r="953" ht="12.75" hidden="1" x14ac:dyDescent="0.2"/>
    <row r="954" ht="12.75" hidden="1" x14ac:dyDescent="0.2"/>
    <row r="955" ht="12.75" hidden="1" x14ac:dyDescent="0.2"/>
    <row r="956" ht="12.75" hidden="1" x14ac:dyDescent="0.2"/>
    <row r="957" ht="12.75" hidden="1" x14ac:dyDescent="0.2"/>
    <row r="958" ht="12.75" hidden="1" x14ac:dyDescent="0.2"/>
    <row r="959" ht="12.75" hidden="1" x14ac:dyDescent="0.2"/>
    <row r="960" ht="12.75" hidden="1" x14ac:dyDescent="0.2"/>
    <row r="961" ht="12.75" hidden="1" x14ac:dyDescent="0.2"/>
    <row r="962" ht="12.75" hidden="1" x14ac:dyDescent="0.2"/>
    <row r="963" ht="12.75" hidden="1" x14ac:dyDescent="0.2"/>
    <row r="964" ht="12.75" hidden="1" x14ac:dyDescent="0.2"/>
    <row r="965" ht="12.75" hidden="1" x14ac:dyDescent="0.2"/>
    <row r="966" ht="12.75" hidden="1" x14ac:dyDescent="0.2"/>
    <row r="967" ht="12.75" hidden="1" x14ac:dyDescent="0.2"/>
    <row r="968" ht="12.75" hidden="1" x14ac:dyDescent="0.2"/>
    <row r="969" ht="12.75" hidden="1" x14ac:dyDescent="0.2"/>
    <row r="970" ht="12.75" hidden="1" x14ac:dyDescent="0.2"/>
    <row r="971" ht="12.75" hidden="1" x14ac:dyDescent="0.2"/>
    <row r="972" ht="12.75" hidden="1" x14ac:dyDescent="0.2"/>
    <row r="973" ht="12.75" hidden="1" x14ac:dyDescent="0.2"/>
    <row r="974" ht="12.75" hidden="1" x14ac:dyDescent="0.2"/>
    <row r="975" ht="12.75" hidden="1" x14ac:dyDescent="0.2"/>
    <row r="976" ht="12.75" hidden="1" x14ac:dyDescent="0.2"/>
    <row r="977" ht="12.75" hidden="1" x14ac:dyDescent="0.2"/>
    <row r="978" ht="12.75" hidden="1" x14ac:dyDescent="0.2"/>
    <row r="979" ht="12.75" hidden="1" x14ac:dyDescent="0.2"/>
    <row r="980" ht="12.75" hidden="1" x14ac:dyDescent="0.2"/>
    <row r="981" ht="12.75" hidden="1" x14ac:dyDescent="0.2"/>
    <row r="982" ht="12.75" hidden="1" x14ac:dyDescent="0.2"/>
    <row r="983" ht="12.75" hidden="1" x14ac:dyDescent="0.2"/>
    <row r="984" ht="12.75" hidden="1" x14ac:dyDescent="0.2"/>
    <row r="985" ht="12.75" hidden="1" x14ac:dyDescent="0.2"/>
    <row r="986" ht="12.75" hidden="1" x14ac:dyDescent="0.2"/>
    <row r="987" ht="12.75" hidden="1" x14ac:dyDescent="0.2"/>
    <row r="988" ht="12.75" hidden="1" x14ac:dyDescent="0.2"/>
    <row r="989" ht="12.75" hidden="1" x14ac:dyDescent="0.2"/>
    <row r="990" ht="12.75" hidden="1" x14ac:dyDescent="0.2"/>
    <row r="991" ht="12.75" hidden="1" x14ac:dyDescent="0.2"/>
    <row r="992" ht="12.75" hidden="1" x14ac:dyDescent="0.2"/>
    <row r="993" ht="12.75" hidden="1" x14ac:dyDescent="0.2"/>
    <row r="994" ht="12.75" hidden="1" x14ac:dyDescent="0.2"/>
    <row r="995" ht="12.75" hidden="1" x14ac:dyDescent="0.2"/>
    <row r="996" ht="12.75" hidden="1" x14ac:dyDescent="0.2"/>
    <row r="997" ht="12.75" hidden="1" x14ac:dyDescent="0.2"/>
    <row r="998" ht="12.75" hidden="1" x14ac:dyDescent="0.2"/>
    <row r="999" ht="12.75" hidden="1" x14ac:dyDescent="0.2"/>
    <row r="1000" ht="12.75" hidden="1" x14ac:dyDescent="0.2"/>
  </sheetData>
  <autoFilter ref="A1:A1000">
    <filterColumn colId="0">
      <filters>
        <filter val="1"/>
        <filter val="10"/>
        <filter val="2"/>
        <filter val="3"/>
        <filter val="4"/>
        <filter val="5"/>
        <filter val="6"/>
        <filter val="7"/>
        <filter val="8"/>
        <filter val="9"/>
        <filter val="Grand Total"/>
      </filters>
    </filterColumn>
  </autoFilter>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C1000"/>
  <sheetViews>
    <sheetView showGridLines="0" workbookViewId="0"/>
  </sheetViews>
  <sheetFormatPr defaultColWidth="12.5703125" defaultRowHeight="15.75" customHeight="1" x14ac:dyDescent="0.2"/>
  <sheetData>
    <row r="1" spans="1:3" ht="12.75" x14ac:dyDescent="0.2">
      <c r="A1" s="10"/>
      <c r="B1" s="9" t="s">
        <v>270</v>
      </c>
      <c r="C1" s="16"/>
    </row>
    <row r="2" spans="1:3" ht="12.75" hidden="1" x14ac:dyDescent="0.2">
      <c r="A2" s="9" t="s">
        <v>2</v>
      </c>
      <c r="B2" s="10" t="s">
        <v>248</v>
      </c>
      <c r="C2" s="17" t="s">
        <v>249</v>
      </c>
    </row>
    <row r="3" spans="1:3" ht="12.75" x14ac:dyDescent="0.2">
      <c r="A3" s="18" t="s">
        <v>250</v>
      </c>
      <c r="B3" s="19">
        <v>17177.5</v>
      </c>
      <c r="C3" s="20">
        <v>64</v>
      </c>
    </row>
    <row r="4" spans="1:3" ht="12.75" x14ac:dyDescent="0.2">
      <c r="A4" s="21" t="s">
        <v>251</v>
      </c>
      <c r="B4" s="22">
        <v>3732.9800000000005</v>
      </c>
      <c r="C4" s="23">
        <v>16</v>
      </c>
    </row>
    <row r="5" spans="1:3" ht="12.75" x14ac:dyDescent="0.2">
      <c r="A5" s="21" t="s">
        <v>252</v>
      </c>
      <c r="B5" s="22">
        <v>8312.9699999999993</v>
      </c>
      <c r="C5" s="23">
        <v>39</v>
      </c>
    </row>
    <row r="6" spans="1:3" ht="12.75" x14ac:dyDescent="0.2">
      <c r="A6" s="21" t="s">
        <v>253</v>
      </c>
      <c r="B6" s="22">
        <v>12769.799999999997</v>
      </c>
      <c r="C6" s="23">
        <v>50</v>
      </c>
    </row>
    <row r="7" spans="1:3" ht="12.75" x14ac:dyDescent="0.2">
      <c r="A7" s="21" t="s">
        <v>254</v>
      </c>
      <c r="B7" s="22">
        <v>12383.85</v>
      </c>
      <c r="C7" s="23">
        <v>51</v>
      </c>
    </row>
    <row r="8" spans="1:3" ht="12.75" x14ac:dyDescent="0.2">
      <c r="A8" s="21" t="s">
        <v>255</v>
      </c>
      <c r="B8" s="22">
        <v>13960.749999999996</v>
      </c>
      <c r="C8" s="23">
        <v>57</v>
      </c>
    </row>
    <row r="9" spans="1:3" ht="12.75" x14ac:dyDescent="0.2">
      <c r="A9" s="21" t="s">
        <v>256</v>
      </c>
      <c r="B9" s="22">
        <v>15355.02</v>
      </c>
      <c r="C9" s="23">
        <v>64</v>
      </c>
    </row>
    <row r="10" spans="1:3" ht="12.75" x14ac:dyDescent="0.2">
      <c r="A10" s="21" t="s">
        <v>257</v>
      </c>
      <c r="B10" s="22">
        <v>9662.5499999999993</v>
      </c>
      <c r="C10" s="23">
        <v>37</v>
      </c>
    </row>
    <row r="11" spans="1:3" ht="12.75" x14ac:dyDescent="0.2">
      <c r="A11" s="21" t="s">
        <v>258</v>
      </c>
      <c r="B11" s="22">
        <v>20119.139999999992</v>
      </c>
      <c r="C11" s="23">
        <v>77</v>
      </c>
    </row>
    <row r="12" spans="1:3" ht="12.75" x14ac:dyDescent="0.2">
      <c r="A12" s="21" t="s">
        <v>259</v>
      </c>
      <c r="B12" s="22">
        <v>14208.96</v>
      </c>
      <c r="C12" s="23">
        <v>55</v>
      </c>
    </row>
    <row r="13" spans="1:3" ht="12.75" x14ac:dyDescent="0.2">
      <c r="A13" s="21" t="s">
        <v>260</v>
      </c>
      <c r="B13" s="22">
        <v>18394.510000000002</v>
      </c>
      <c r="C13" s="23">
        <v>72</v>
      </c>
    </row>
    <row r="14" spans="1:3" ht="12.75" x14ac:dyDescent="0.2">
      <c r="A14" s="21" t="s">
        <v>261</v>
      </c>
      <c r="B14" s="22">
        <v>15747.239999999998</v>
      </c>
      <c r="C14" s="23">
        <v>60</v>
      </c>
    </row>
    <row r="15" spans="1:3" ht="12.75" x14ac:dyDescent="0.2">
      <c r="A15" s="21" t="s">
        <v>262</v>
      </c>
      <c r="B15" s="22">
        <v>14452.669999999998</v>
      </c>
      <c r="C15" s="23">
        <v>58</v>
      </c>
    </row>
    <row r="16" spans="1:3" ht="12.75" x14ac:dyDescent="0.2">
      <c r="A16" s="21" t="s">
        <v>269</v>
      </c>
      <c r="B16" s="22"/>
      <c r="C16" s="23"/>
    </row>
    <row r="17" spans="1:3" ht="12.75" hidden="1" x14ac:dyDescent="0.2">
      <c r="A17" s="24" t="s">
        <v>247</v>
      </c>
      <c r="B17" s="25">
        <v>176277.9399999998</v>
      </c>
      <c r="C17" s="26">
        <v>700</v>
      </c>
    </row>
    <row r="18" spans="1:3" ht="12.75" hidden="1" x14ac:dyDescent="0.2"/>
    <row r="19" spans="1:3" ht="12.75" hidden="1" x14ac:dyDescent="0.2"/>
    <row r="20" spans="1:3" ht="12.75" hidden="1" x14ac:dyDescent="0.2"/>
    <row r="21" spans="1:3" ht="12.75" hidden="1" x14ac:dyDescent="0.2"/>
    <row r="22" spans="1:3" ht="12.75" hidden="1" x14ac:dyDescent="0.2"/>
    <row r="23" spans="1:3" ht="12.75" hidden="1" x14ac:dyDescent="0.2"/>
    <row r="24" spans="1:3" ht="12.75" hidden="1" x14ac:dyDescent="0.2"/>
    <row r="25" spans="1:3" ht="12.75" hidden="1" x14ac:dyDescent="0.2"/>
    <row r="26" spans="1:3" ht="12.75" hidden="1" x14ac:dyDescent="0.2"/>
    <row r="27" spans="1:3" ht="12.75" hidden="1" x14ac:dyDescent="0.2"/>
    <row r="28" spans="1:3" ht="12.75" hidden="1" x14ac:dyDescent="0.2"/>
    <row r="29" spans="1:3" ht="12.75" hidden="1" x14ac:dyDescent="0.2"/>
    <row r="30" spans="1:3" ht="12.75" hidden="1" x14ac:dyDescent="0.2"/>
    <row r="31" spans="1:3" ht="12.75" hidden="1" x14ac:dyDescent="0.2"/>
    <row r="32" spans="1:3" ht="12.75" hidden="1" x14ac:dyDescent="0.2"/>
    <row r="33" ht="12.75" hidden="1" x14ac:dyDescent="0.2"/>
    <row r="34" ht="12.75" hidden="1" x14ac:dyDescent="0.2"/>
    <row r="35" ht="12.75" hidden="1" x14ac:dyDescent="0.2"/>
    <row r="36" ht="12.75" hidden="1" x14ac:dyDescent="0.2"/>
    <row r="37" ht="12.75" hidden="1" x14ac:dyDescent="0.2"/>
    <row r="38" ht="12.75" hidden="1" x14ac:dyDescent="0.2"/>
    <row r="39" ht="12.75" hidden="1" x14ac:dyDescent="0.2"/>
    <row r="40" ht="12.75" hidden="1" x14ac:dyDescent="0.2"/>
    <row r="41" ht="12.75" hidden="1" x14ac:dyDescent="0.2"/>
    <row r="42" ht="12.75" hidden="1" x14ac:dyDescent="0.2"/>
    <row r="43" ht="12.75" hidden="1" x14ac:dyDescent="0.2"/>
    <row r="44" ht="12.75" hidden="1" x14ac:dyDescent="0.2"/>
    <row r="45" ht="12.75" hidden="1" x14ac:dyDescent="0.2"/>
    <row r="46" ht="12.75" hidden="1" x14ac:dyDescent="0.2"/>
    <row r="47" ht="12.75" hidden="1" x14ac:dyDescent="0.2"/>
    <row r="48" ht="12.75" hidden="1" x14ac:dyDescent="0.2"/>
    <row r="49" ht="12.75" hidden="1" x14ac:dyDescent="0.2"/>
    <row r="50" ht="12.75" hidden="1" x14ac:dyDescent="0.2"/>
    <row r="51" ht="12.75" hidden="1" x14ac:dyDescent="0.2"/>
    <row r="52" ht="12.75" hidden="1" x14ac:dyDescent="0.2"/>
    <row r="53" ht="12.75" hidden="1" x14ac:dyDescent="0.2"/>
    <row r="54" ht="12.75" hidden="1" x14ac:dyDescent="0.2"/>
    <row r="55" ht="12.75" hidden="1" x14ac:dyDescent="0.2"/>
    <row r="56" ht="12.75" hidden="1" x14ac:dyDescent="0.2"/>
    <row r="57" ht="12.75" hidden="1" x14ac:dyDescent="0.2"/>
    <row r="58" ht="12.75" hidden="1" x14ac:dyDescent="0.2"/>
    <row r="59" ht="12.75" hidden="1" x14ac:dyDescent="0.2"/>
    <row r="60" ht="12.75" hidden="1" x14ac:dyDescent="0.2"/>
    <row r="61" ht="12.75" hidden="1" x14ac:dyDescent="0.2"/>
    <row r="62" ht="12.75" hidden="1" x14ac:dyDescent="0.2"/>
    <row r="63" ht="12.75" hidden="1" x14ac:dyDescent="0.2"/>
    <row r="64" ht="12.75" hidden="1" x14ac:dyDescent="0.2"/>
    <row r="65" ht="12.75" hidden="1" x14ac:dyDescent="0.2"/>
    <row r="66" ht="12.75" hidden="1" x14ac:dyDescent="0.2"/>
    <row r="67" ht="12.75" hidden="1" x14ac:dyDescent="0.2"/>
    <row r="68" ht="12.75" hidden="1" x14ac:dyDescent="0.2"/>
    <row r="69" ht="12.75" hidden="1" x14ac:dyDescent="0.2"/>
    <row r="70" ht="12.75" hidden="1" x14ac:dyDescent="0.2"/>
    <row r="71" ht="12.75" hidden="1" x14ac:dyDescent="0.2"/>
    <row r="72" ht="12.75" hidden="1" x14ac:dyDescent="0.2"/>
    <row r="73" ht="12.75" hidden="1" x14ac:dyDescent="0.2"/>
    <row r="74" ht="12.75" hidden="1" x14ac:dyDescent="0.2"/>
    <row r="75" ht="12.75" hidden="1" x14ac:dyDescent="0.2"/>
    <row r="76" ht="12.75" hidden="1" x14ac:dyDescent="0.2"/>
    <row r="77" ht="12.75" hidden="1" x14ac:dyDescent="0.2"/>
    <row r="78" ht="12.75" hidden="1" x14ac:dyDescent="0.2"/>
    <row r="79" ht="12.75" hidden="1" x14ac:dyDescent="0.2"/>
    <row r="80" ht="12.75" hidden="1" x14ac:dyDescent="0.2"/>
    <row r="81" ht="12.75" hidden="1" x14ac:dyDescent="0.2"/>
    <row r="82" ht="12.75" hidden="1" x14ac:dyDescent="0.2"/>
    <row r="83" ht="12.75" hidden="1" x14ac:dyDescent="0.2"/>
    <row r="84" ht="12.75" hidden="1" x14ac:dyDescent="0.2"/>
    <row r="85" ht="12.75" hidden="1" x14ac:dyDescent="0.2"/>
    <row r="86" ht="12.75" hidden="1" x14ac:dyDescent="0.2"/>
    <row r="87" ht="12.75" hidden="1" x14ac:dyDescent="0.2"/>
    <row r="88" ht="12.75" hidden="1" x14ac:dyDescent="0.2"/>
    <row r="89" ht="12.75" hidden="1" x14ac:dyDescent="0.2"/>
    <row r="90" ht="12.75" hidden="1" x14ac:dyDescent="0.2"/>
    <row r="91" ht="12.75" hidden="1" x14ac:dyDescent="0.2"/>
    <row r="92" ht="12.75" hidden="1" x14ac:dyDescent="0.2"/>
    <row r="93" ht="12.75" hidden="1" x14ac:dyDescent="0.2"/>
    <row r="94" ht="12.75" hidden="1" x14ac:dyDescent="0.2"/>
    <row r="95" ht="12.75" hidden="1" x14ac:dyDescent="0.2"/>
    <row r="96" ht="12.75" hidden="1" x14ac:dyDescent="0.2"/>
    <row r="97" ht="12.75" hidden="1" x14ac:dyDescent="0.2"/>
    <row r="98" ht="12.75" hidden="1" x14ac:dyDescent="0.2"/>
    <row r="99" ht="12.75" hidden="1" x14ac:dyDescent="0.2"/>
    <row r="100" ht="12.75" hidden="1" x14ac:dyDescent="0.2"/>
    <row r="101" ht="12.75" hidden="1" x14ac:dyDescent="0.2"/>
    <row r="102" ht="12.75" hidden="1" x14ac:dyDescent="0.2"/>
    <row r="103" ht="12.75" hidden="1" x14ac:dyDescent="0.2"/>
    <row r="104" ht="12.75" hidden="1" x14ac:dyDescent="0.2"/>
    <row r="105" ht="12.75" hidden="1" x14ac:dyDescent="0.2"/>
    <row r="106" ht="12.75" hidden="1" x14ac:dyDescent="0.2"/>
    <row r="107" ht="12.75" hidden="1" x14ac:dyDescent="0.2"/>
    <row r="108" ht="12.75" hidden="1" x14ac:dyDescent="0.2"/>
    <row r="109" ht="12.75" hidden="1" x14ac:dyDescent="0.2"/>
    <row r="110" ht="12.75" hidden="1" x14ac:dyDescent="0.2"/>
    <row r="111" ht="12.75" hidden="1" x14ac:dyDescent="0.2"/>
    <row r="112" ht="12.75" hidden="1" x14ac:dyDescent="0.2"/>
    <row r="113" ht="12.75" hidden="1" x14ac:dyDescent="0.2"/>
    <row r="114" ht="12.75" hidden="1" x14ac:dyDescent="0.2"/>
    <row r="115" ht="12.75" hidden="1" x14ac:dyDescent="0.2"/>
    <row r="116" ht="12.75" hidden="1" x14ac:dyDescent="0.2"/>
    <row r="117" ht="12.75" hidden="1" x14ac:dyDescent="0.2"/>
    <row r="118" ht="12.75" hidden="1" x14ac:dyDescent="0.2"/>
    <row r="119" ht="12.75" hidden="1" x14ac:dyDescent="0.2"/>
    <row r="120" ht="12.75" hidden="1" x14ac:dyDescent="0.2"/>
    <row r="121" ht="12.75" hidden="1" x14ac:dyDescent="0.2"/>
    <row r="122" ht="12.75" hidden="1" x14ac:dyDescent="0.2"/>
    <row r="123" ht="12.75" hidden="1" x14ac:dyDescent="0.2"/>
    <row r="124" ht="12.75" hidden="1" x14ac:dyDescent="0.2"/>
    <row r="125" ht="12.75" hidden="1" x14ac:dyDescent="0.2"/>
    <row r="126" ht="12.75" hidden="1" x14ac:dyDescent="0.2"/>
    <row r="127" ht="12.75" hidden="1" x14ac:dyDescent="0.2"/>
    <row r="128" ht="12.75" hidden="1" x14ac:dyDescent="0.2"/>
    <row r="129" ht="12.75" hidden="1" x14ac:dyDescent="0.2"/>
    <row r="130" ht="12.75" hidden="1" x14ac:dyDescent="0.2"/>
    <row r="131" ht="12.75" hidden="1" x14ac:dyDescent="0.2"/>
    <row r="132" ht="12.75" hidden="1" x14ac:dyDescent="0.2"/>
    <row r="133" ht="12.75" hidden="1" x14ac:dyDescent="0.2"/>
    <row r="134" ht="12.75" hidden="1" x14ac:dyDescent="0.2"/>
    <row r="135" ht="12.75" hidden="1" x14ac:dyDescent="0.2"/>
    <row r="136" ht="12.75" hidden="1" x14ac:dyDescent="0.2"/>
    <row r="137" ht="12.75" hidden="1" x14ac:dyDescent="0.2"/>
    <row r="138" ht="12.75" hidden="1" x14ac:dyDescent="0.2"/>
    <row r="139" ht="12.75" hidden="1" x14ac:dyDescent="0.2"/>
    <row r="140" ht="12.75" hidden="1" x14ac:dyDescent="0.2"/>
    <row r="141" ht="12.75" hidden="1" x14ac:dyDescent="0.2"/>
    <row r="142" ht="12.75" hidden="1" x14ac:dyDescent="0.2"/>
    <row r="143" ht="12.75" hidden="1" x14ac:dyDescent="0.2"/>
    <row r="144" ht="12.75" hidden="1" x14ac:dyDescent="0.2"/>
    <row r="145" ht="12.75" hidden="1" x14ac:dyDescent="0.2"/>
    <row r="146" ht="12.75" hidden="1" x14ac:dyDescent="0.2"/>
    <row r="147" ht="12.75" hidden="1" x14ac:dyDescent="0.2"/>
    <row r="148" ht="12.75" hidden="1" x14ac:dyDescent="0.2"/>
    <row r="149" ht="12.75" hidden="1" x14ac:dyDescent="0.2"/>
    <row r="150" ht="12.75" hidden="1" x14ac:dyDescent="0.2"/>
    <row r="151" ht="12.75" hidden="1" x14ac:dyDescent="0.2"/>
    <row r="152" ht="12.75" hidden="1" x14ac:dyDescent="0.2"/>
    <row r="153" ht="12.75" hidden="1" x14ac:dyDescent="0.2"/>
    <row r="154" ht="12.75" hidden="1" x14ac:dyDescent="0.2"/>
    <row r="155" ht="12.75" hidden="1" x14ac:dyDescent="0.2"/>
    <row r="156" ht="12.75" hidden="1" x14ac:dyDescent="0.2"/>
    <row r="157" ht="12.75" hidden="1" x14ac:dyDescent="0.2"/>
    <row r="158" ht="12.75" hidden="1" x14ac:dyDescent="0.2"/>
    <row r="159" ht="12.75" hidden="1" x14ac:dyDescent="0.2"/>
    <row r="160" ht="12.75" hidden="1" x14ac:dyDescent="0.2"/>
    <row r="161" ht="12.75" hidden="1" x14ac:dyDescent="0.2"/>
    <row r="162" ht="12.75" hidden="1" x14ac:dyDescent="0.2"/>
    <row r="163" ht="12.75" hidden="1" x14ac:dyDescent="0.2"/>
    <row r="164" ht="12.75" hidden="1" x14ac:dyDescent="0.2"/>
    <row r="165" ht="12.75" hidden="1" x14ac:dyDescent="0.2"/>
    <row r="166" ht="12.75" hidden="1" x14ac:dyDescent="0.2"/>
    <row r="167" ht="12.75" hidden="1" x14ac:dyDescent="0.2"/>
    <row r="168" ht="12.75" hidden="1" x14ac:dyDescent="0.2"/>
    <row r="169" ht="12.75" hidden="1" x14ac:dyDescent="0.2"/>
    <row r="170" ht="12.75" hidden="1" x14ac:dyDescent="0.2"/>
    <row r="171" ht="12.75" hidden="1" x14ac:dyDescent="0.2"/>
    <row r="172" ht="12.75" hidden="1" x14ac:dyDescent="0.2"/>
    <row r="173" ht="12.75" hidden="1" x14ac:dyDescent="0.2"/>
    <row r="174" ht="12.75" hidden="1" x14ac:dyDescent="0.2"/>
    <row r="175" ht="12.75" hidden="1" x14ac:dyDescent="0.2"/>
    <row r="176" ht="12.75" hidden="1" x14ac:dyDescent="0.2"/>
    <row r="177" ht="12.75" hidden="1" x14ac:dyDescent="0.2"/>
    <row r="178" ht="12.75" hidden="1" x14ac:dyDescent="0.2"/>
    <row r="179" ht="12.75" hidden="1" x14ac:dyDescent="0.2"/>
    <row r="180" ht="12.75" hidden="1" x14ac:dyDescent="0.2"/>
    <row r="181" ht="12.75" hidden="1" x14ac:dyDescent="0.2"/>
    <row r="182" ht="12.75" hidden="1" x14ac:dyDescent="0.2"/>
    <row r="183" ht="12.75" hidden="1" x14ac:dyDescent="0.2"/>
    <row r="184" ht="12.75" hidden="1" x14ac:dyDescent="0.2"/>
    <row r="185" ht="12.75" hidden="1" x14ac:dyDescent="0.2"/>
    <row r="186" ht="12.75" hidden="1" x14ac:dyDescent="0.2"/>
    <row r="187" ht="12.75" hidden="1" x14ac:dyDescent="0.2"/>
    <row r="188" ht="12.75" hidden="1" x14ac:dyDescent="0.2"/>
    <row r="189" ht="12.75" hidden="1" x14ac:dyDescent="0.2"/>
    <row r="190" ht="12.75" hidden="1" x14ac:dyDescent="0.2"/>
    <row r="191" ht="12.75" hidden="1" x14ac:dyDescent="0.2"/>
    <row r="192" ht="12.75" hidden="1" x14ac:dyDescent="0.2"/>
    <row r="193" ht="12.75" hidden="1" x14ac:dyDescent="0.2"/>
    <row r="194" ht="12.75" hidden="1" x14ac:dyDescent="0.2"/>
    <row r="195" ht="12.75" hidden="1" x14ac:dyDescent="0.2"/>
    <row r="196" ht="12.75" hidden="1" x14ac:dyDescent="0.2"/>
    <row r="197" ht="12.75" hidden="1" x14ac:dyDescent="0.2"/>
    <row r="198" ht="12.75" hidden="1" x14ac:dyDescent="0.2"/>
    <row r="199" ht="12.75" hidden="1" x14ac:dyDescent="0.2"/>
    <row r="200" ht="12.75" hidden="1" x14ac:dyDescent="0.2"/>
    <row r="201" ht="12.75" hidden="1" x14ac:dyDescent="0.2"/>
    <row r="202" ht="12.75" hidden="1" x14ac:dyDescent="0.2"/>
    <row r="203" ht="12.75" hidden="1" x14ac:dyDescent="0.2"/>
    <row r="204" ht="12.75" hidden="1" x14ac:dyDescent="0.2"/>
    <row r="205" ht="12.75" hidden="1" x14ac:dyDescent="0.2"/>
    <row r="206" ht="12.75" hidden="1" x14ac:dyDescent="0.2"/>
    <row r="207" ht="12.75" hidden="1" x14ac:dyDescent="0.2"/>
    <row r="208" ht="12.75" hidden="1" x14ac:dyDescent="0.2"/>
    <row r="209" ht="12.75" hidden="1" x14ac:dyDescent="0.2"/>
    <row r="210" ht="12.75" hidden="1" x14ac:dyDescent="0.2"/>
    <row r="211" ht="12.75" hidden="1" x14ac:dyDescent="0.2"/>
    <row r="212" ht="12.75" hidden="1" x14ac:dyDescent="0.2"/>
    <row r="213" ht="12.75" hidden="1" x14ac:dyDescent="0.2"/>
    <row r="214" ht="12.75" hidden="1" x14ac:dyDescent="0.2"/>
    <row r="215" ht="12.75" hidden="1" x14ac:dyDescent="0.2"/>
    <row r="216" ht="12.75" hidden="1" x14ac:dyDescent="0.2"/>
    <row r="217" ht="12.75" hidden="1" x14ac:dyDescent="0.2"/>
    <row r="218" ht="12.75" hidden="1" x14ac:dyDescent="0.2"/>
    <row r="219" ht="12.75" hidden="1" x14ac:dyDescent="0.2"/>
    <row r="220" ht="12.75" hidden="1" x14ac:dyDescent="0.2"/>
    <row r="221" ht="12.75" hidden="1" x14ac:dyDescent="0.2"/>
    <row r="222" ht="12.75" hidden="1" x14ac:dyDescent="0.2"/>
    <row r="223" ht="12.75" hidden="1" x14ac:dyDescent="0.2"/>
    <row r="224" ht="12.75" hidden="1" x14ac:dyDescent="0.2"/>
    <row r="225" ht="12.75" hidden="1" x14ac:dyDescent="0.2"/>
    <row r="226" ht="12.75" hidden="1" x14ac:dyDescent="0.2"/>
    <row r="227" ht="12.75" hidden="1" x14ac:dyDescent="0.2"/>
    <row r="228" ht="12.75" hidden="1" x14ac:dyDescent="0.2"/>
    <row r="229" ht="12.75" hidden="1" x14ac:dyDescent="0.2"/>
    <row r="230" ht="12.75" hidden="1" x14ac:dyDescent="0.2"/>
    <row r="231" ht="12.75" hidden="1" x14ac:dyDescent="0.2"/>
    <row r="232" ht="12.75" hidden="1" x14ac:dyDescent="0.2"/>
    <row r="233" ht="12.75" hidden="1" x14ac:dyDescent="0.2"/>
    <row r="234" ht="12.75" hidden="1" x14ac:dyDescent="0.2"/>
    <row r="235" ht="12.75" hidden="1" x14ac:dyDescent="0.2"/>
    <row r="236" ht="12.75" hidden="1" x14ac:dyDescent="0.2"/>
    <row r="237" ht="12.75" hidden="1" x14ac:dyDescent="0.2"/>
    <row r="238" ht="12.75" hidden="1" x14ac:dyDescent="0.2"/>
    <row r="239" ht="12.75" hidden="1" x14ac:dyDescent="0.2"/>
    <row r="240" ht="12.75" hidden="1" x14ac:dyDescent="0.2"/>
    <row r="241" ht="12.75" hidden="1" x14ac:dyDescent="0.2"/>
    <row r="242" ht="12.75" hidden="1" x14ac:dyDescent="0.2"/>
    <row r="243" ht="12.75" hidden="1" x14ac:dyDescent="0.2"/>
    <row r="244" ht="12.75" hidden="1" x14ac:dyDescent="0.2"/>
    <row r="245" ht="12.75" hidden="1" x14ac:dyDescent="0.2"/>
    <row r="246" ht="12.75" hidden="1" x14ac:dyDescent="0.2"/>
    <row r="247" ht="12.75" hidden="1" x14ac:dyDescent="0.2"/>
    <row r="248" ht="12.75" hidden="1" x14ac:dyDescent="0.2"/>
    <row r="249" ht="12.75" hidden="1" x14ac:dyDescent="0.2"/>
    <row r="250" ht="12.75" hidden="1" x14ac:dyDescent="0.2"/>
    <row r="251" ht="12.75" hidden="1" x14ac:dyDescent="0.2"/>
    <row r="252" ht="12.75" hidden="1" x14ac:dyDescent="0.2"/>
    <row r="253" ht="12.75" hidden="1" x14ac:dyDescent="0.2"/>
    <row r="254" ht="12.75" hidden="1" x14ac:dyDescent="0.2"/>
    <row r="255" ht="12.75" hidden="1" x14ac:dyDescent="0.2"/>
    <row r="256" ht="12.75" hidden="1" x14ac:dyDescent="0.2"/>
    <row r="257" ht="12.75" hidden="1" x14ac:dyDescent="0.2"/>
    <row r="258" ht="12.75" hidden="1" x14ac:dyDescent="0.2"/>
    <row r="259" ht="12.75" hidden="1" x14ac:dyDescent="0.2"/>
    <row r="260" ht="12.75" hidden="1" x14ac:dyDescent="0.2"/>
    <row r="261" ht="12.75" hidden="1" x14ac:dyDescent="0.2"/>
    <row r="262" ht="12.75" hidden="1" x14ac:dyDescent="0.2"/>
    <row r="263" ht="12.75" hidden="1" x14ac:dyDescent="0.2"/>
    <row r="264" ht="12.75" hidden="1" x14ac:dyDescent="0.2"/>
    <row r="265" ht="12.75" hidden="1" x14ac:dyDescent="0.2"/>
    <row r="266" ht="12.75" hidden="1" x14ac:dyDescent="0.2"/>
    <row r="267" ht="12.75" hidden="1" x14ac:dyDescent="0.2"/>
    <row r="268" ht="12.75" hidden="1" x14ac:dyDescent="0.2"/>
    <row r="269" ht="12.75" hidden="1" x14ac:dyDescent="0.2"/>
    <row r="270" ht="12.75" hidden="1" x14ac:dyDescent="0.2"/>
    <row r="271" ht="12.75" hidden="1" x14ac:dyDescent="0.2"/>
    <row r="272" ht="12.75" hidden="1" x14ac:dyDescent="0.2"/>
    <row r="273" ht="12.75" hidden="1" x14ac:dyDescent="0.2"/>
    <row r="274" ht="12.75" hidden="1" x14ac:dyDescent="0.2"/>
    <row r="275" ht="12.75" hidden="1" x14ac:dyDescent="0.2"/>
    <row r="276" ht="12.75" hidden="1" x14ac:dyDescent="0.2"/>
    <row r="277" ht="12.75" hidden="1" x14ac:dyDescent="0.2"/>
    <row r="278" ht="12.75" hidden="1" x14ac:dyDescent="0.2"/>
    <row r="279" ht="12.75" hidden="1" x14ac:dyDescent="0.2"/>
    <row r="280" ht="12.75" hidden="1" x14ac:dyDescent="0.2"/>
    <row r="281" ht="12.75" hidden="1" x14ac:dyDescent="0.2"/>
    <row r="282" ht="12.75" hidden="1" x14ac:dyDescent="0.2"/>
    <row r="283" ht="12.75" hidden="1" x14ac:dyDescent="0.2"/>
    <row r="284" ht="12.75" hidden="1" x14ac:dyDescent="0.2"/>
    <row r="285" ht="12.75" hidden="1" x14ac:dyDescent="0.2"/>
    <row r="286" ht="12.75" hidden="1" x14ac:dyDescent="0.2"/>
    <row r="287" ht="12.75" hidden="1" x14ac:dyDescent="0.2"/>
    <row r="288" ht="12.75" hidden="1" x14ac:dyDescent="0.2"/>
    <row r="289" ht="12.75" hidden="1" x14ac:dyDescent="0.2"/>
    <row r="290" ht="12.75" hidden="1" x14ac:dyDescent="0.2"/>
    <row r="291" ht="12.75" hidden="1" x14ac:dyDescent="0.2"/>
    <row r="292" ht="12.75" hidden="1" x14ac:dyDescent="0.2"/>
    <row r="293" ht="12.75" hidden="1" x14ac:dyDescent="0.2"/>
    <row r="294" ht="12.75" hidden="1" x14ac:dyDescent="0.2"/>
    <row r="295" ht="12.75" hidden="1" x14ac:dyDescent="0.2"/>
    <row r="296" ht="12.75" hidden="1" x14ac:dyDescent="0.2"/>
    <row r="297" ht="12.75" hidden="1" x14ac:dyDescent="0.2"/>
    <row r="298" ht="12.75" hidden="1" x14ac:dyDescent="0.2"/>
    <row r="299" ht="12.75" hidden="1" x14ac:dyDescent="0.2"/>
    <row r="300" ht="12.75" hidden="1" x14ac:dyDescent="0.2"/>
    <row r="301" ht="12.75" hidden="1" x14ac:dyDescent="0.2"/>
    <row r="302" ht="12.75" hidden="1" x14ac:dyDescent="0.2"/>
    <row r="303" ht="12.75" hidden="1" x14ac:dyDescent="0.2"/>
    <row r="304" ht="12.75" hidden="1" x14ac:dyDescent="0.2"/>
    <row r="305" ht="12.75" hidden="1" x14ac:dyDescent="0.2"/>
    <row r="306" ht="12.75" hidden="1" x14ac:dyDescent="0.2"/>
    <row r="307" ht="12.75" hidden="1" x14ac:dyDescent="0.2"/>
    <row r="308" ht="12.75" hidden="1" x14ac:dyDescent="0.2"/>
    <row r="309" ht="12.75" hidden="1" x14ac:dyDescent="0.2"/>
    <row r="310" ht="12.75" hidden="1" x14ac:dyDescent="0.2"/>
    <row r="311" ht="12.75" hidden="1" x14ac:dyDescent="0.2"/>
    <row r="312" ht="12.75" hidden="1" x14ac:dyDescent="0.2"/>
    <row r="313" ht="12.75" hidden="1" x14ac:dyDescent="0.2"/>
    <row r="314" ht="12.75" hidden="1" x14ac:dyDescent="0.2"/>
    <row r="315" ht="12.75" hidden="1" x14ac:dyDescent="0.2"/>
    <row r="316" ht="12.75" hidden="1" x14ac:dyDescent="0.2"/>
    <row r="317" ht="12.75" hidden="1" x14ac:dyDescent="0.2"/>
    <row r="318" ht="12.75" hidden="1" x14ac:dyDescent="0.2"/>
    <row r="319" ht="12.75" hidden="1" x14ac:dyDescent="0.2"/>
    <row r="320" ht="12.75" hidden="1" x14ac:dyDescent="0.2"/>
    <row r="321" ht="12.75" hidden="1" x14ac:dyDescent="0.2"/>
    <row r="322" ht="12.75" hidden="1" x14ac:dyDescent="0.2"/>
    <row r="323" ht="12.75" hidden="1" x14ac:dyDescent="0.2"/>
    <row r="324" ht="12.75" hidden="1" x14ac:dyDescent="0.2"/>
    <row r="325" ht="12.75" hidden="1" x14ac:dyDescent="0.2"/>
    <row r="326" ht="12.75" hidden="1" x14ac:dyDescent="0.2"/>
    <row r="327" ht="12.75" hidden="1" x14ac:dyDescent="0.2"/>
    <row r="328" ht="12.75" hidden="1" x14ac:dyDescent="0.2"/>
    <row r="329" ht="12.75" hidden="1" x14ac:dyDescent="0.2"/>
    <row r="330" ht="12.75" hidden="1" x14ac:dyDescent="0.2"/>
    <row r="331" ht="12.75" hidden="1" x14ac:dyDescent="0.2"/>
    <row r="332" ht="12.75" hidden="1" x14ac:dyDescent="0.2"/>
    <row r="333" ht="12.75" hidden="1" x14ac:dyDescent="0.2"/>
    <row r="334" ht="12.75" hidden="1" x14ac:dyDescent="0.2"/>
    <row r="335" ht="12.75" hidden="1" x14ac:dyDescent="0.2"/>
    <row r="336" ht="12.75" hidden="1" x14ac:dyDescent="0.2"/>
    <row r="337" ht="12.75" hidden="1" x14ac:dyDescent="0.2"/>
    <row r="338" ht="12.75" hidden="1" x14ac:dyDescent="0.2"/>
    <row r="339" ht="12.75" hidden="1" x14ac:dyDescent="0.2"/>
    <row r="340" ht="12.75" hidden="1" x14ac:dyDescent="0.2"/>
    <row r="341" ht="12.75" hidden="1" x14ac:dyDescent="0.2"/>
    <row r="342" ht="12.75" hidden="1" x14ac:dyDescent="0.2"/>
    <row r="343" ht="12.75" hidden="1" x14ac:dyDescent="0.2"/>
    <row r="344" ht="12.75" hidden="1" x14ac:dyDescent="0.2"/>
    <row r="345" ht="12.75" hidden="1" x14ac:dyDescent="0.2"/>
    <row r="346" ht="12.75" hidden="1" x14ac:dyDescent="0.2"/>
    <row r="347" ht="12.75" hidden="1" x14ac:dyDescent="0.2"/>
    <row r="348" ht="12.75" hidden="1" x14ac:dyDescent="0.2"/>
    <row r="349" ht="12.75" hidden="1" x14ac:dyDescent="0.2"/>
    <row r="350" ht="12.75" hidden="1" x14ac:dyDescent="0.2"/>
    <row r="351" ht="12.75" hidden="1" x14ac:dyDescent="0.2"/>
    <row r="352" ht="12.75" hidden="1" x14ac:dyDescent="0.2"/>
    <row r="353" ht="12.75" hidden="1" x14ac:dyDescent="0.2"/>
    <row r="354" ht="12.75" hidden="1" x14ac:dyDescent="0.2"/>
    <row r="355" ht="12.75" hidden="1" x14ac:dyDescent="0.2"/>
    <row r="356" ht="12.75" hidden="1" x14ac:dyDescent="0.2"/>
    <row r="357" ht="12.75" hidden="1" x14ac:dyDescent="0.2"/>
    <row r="358" ht="12.75" hidden="1" x14ac:dyDescent="0.2"/>
    <row r="359" ht="12.75" hidden="1" x14ac:dyDescent="0.2"/>
    <row r="360" ht="12.75" hidden="1" x14ac:dyDescent="0.2"/>
    <row r="361" ht="12.75" hidden="1" x14ac:dyDescent="0.2"/>
    <row r="362" ht="12.75" hidden="1" x14ac:dyDescent="0.2"/>
    <row r="363" ht="12.75" hidden="1" x14ac:dyDescent="0.2"/>
    <row r="364" ht="12.75" hidden="1" x14ac:dyDescent="0.2"/>
    <row r="365" ht="12.75" hidden="1" x14ac:dyDescent="0.2"/>
    <row r="366" ht="12.75" hidden="1" x14ac:dyDescent="0.2"/>
    <row r="367" ht="12.75" hidden="1" x14ac:dyDescent="0.2"/>
    <row r="368" ht="12.75" hidden="1" x14ac:dyDescent="0.2"/>
    <row r="369" ht="12.75" hidden="1" x14ac:dyDescent="0.2"/>
    <row r="370" ht="12.75" hidden="1" x14ac:dyDescent="0.2"/>
    <row r="371" ht="12.75" hidden="1" x14ac:dyDescent="0.2"/>
    <row r="372" ht="12.75" hidden="1" x14ac:dyDescent="0.2"/>
    <row r="373" ht="12.75" hidden="1" x14ac:dyDescent="0.2"/>
    <row r="374" ht="12.75" hidden="1" x14ac:dyDescent="0.2"/>
    <row r="375" ht="12.75" hidden="1" x14ac:dyDescent="0.2"/>
    <row r="376" ht="12.75" hidden="1" x14ac:dyDescent="0.2"/>
    <row r="377" ht="12.75" hidden="1" x14ac:dyDescent="0.2"/>
    <row r="378" ht="12.75" hidden="1" x14ac:dyDescent="0.2"/>
    <row r="379" ht="12.75" hidden="1" x14ac:dyDescent="0.2"/>
    <row r="380" ht="12.75" hidden="1" x14ac:dyDescent="0.2"/>
    <row r="381" ht="12.75" hidden="1" x14ac:dyDescent="0.2"/>
    <row r="382" ht="12.75" hidden="1" x14ac:dyDescent="0.2"/>
    <row r="383" ht="12.75" hidden="1" x14ac:dyDescent="0.2"/>
    <row r="384" ht="12.75" hidden="1" x14ac:dyDescent="0.2"/>
    <row r="385" ht="12.75" hidden="1" x14ac:dyDescent="0.2"/>
    <row r="386" ht="12.75" hidden="1" x14ac:dyDescent="0.2"/>
    <row r="387" ht="12.75" hidden="1" x14ac:dyDescent="0.2"/>
    <row r="388" ht="12.75" hidden="1" x14ac:dyDescent="0.2"/>
    <row r="389" ht="12.75" hidden="1" x14ac:dyDescent="0.2"/>
    <row r="390" ht="12.75" hidden="1" x14ac:dyDescent="0.2"/>
    <row r="391" ht="12.75" hidden="1" x14ac:dyDescent="0.2"/>
    <row r="392" ht="12.75" hidden="1" x14ac:dyDescent="0.2"/>
    <row r="393" ht="12.75" hidden="1" x14ac:dyDescent="0.2"/>
    <row r="394" ht="12.75" hidden="1" x14ac:dyDescent="0.2"/>
    <row r="395" ht="12.75" hidden="1" x14ac:dyDescent="0.2"/>
    <row r="396" ht="12.75" hidden="1" x14ac:dyDescent="0.2"/>
    <row r="397" ht="12.75" hidden="1" x14ac:dyDescent="0.2"/>
    <row r="398" ht="12.75" hidden="1" x14ac:dyDescent="0.2"/>
    <row r="399" ht="12.75" hidden="1" x14ac:dyDescent="0.2"/>
    <row r="400" ht="12.75" hidden="1" x14ac:dyDescent="0.2"/>
    <row r="401" ht="12.75" hidden="1" x14ac:dyDescent="0.2"/>
    <row r="402" ht="12.75" hidden="1" x14ac:dyDescent="0.2"/>
    <row r="403" ht="12.75" hidden="1" x14ac:dyDescent="0.2"/>
    <row r="404" ht="12.75" hidden="1" x14ac:dyDescent="0.2"/>
    <row r="405" ht="12.75" hidden="1" x14ac:dyDescent="0.2"/>
    <row r="406" ht="12.75" hidden="1" x14ac:dyDescent="0.2"/>
    <row r="407" ht="12.75" hidden="1" x14ac:dyDescent="0.2"/>
    <row r="408" ht="12.75" hidden="1" x14ac:dyDescent="0.2"/>
    <row r="409" ht="12.75" hidden="1" x14ac:dyDescent="0.2"/>
    <row r="410" ht="12.75" hidden="1" x14ac:dyDescent="0.2"/>
    <row r="411" ht="12.75" hidden="1" x14ac:dyDescent="0.2"/>
    <row r="412" ht="12.75" hidden="1" x14ac:dyDescent="0.2"/>
    <row r="413" ht="12.75" hidden="1" x14ac:dyDescent="0.2"/>
    <row r="414" ht="12.75" hidden="1" x14ac:dyDescent="0.2"/>
    <row r="415" ht="12.75" hidden="1" x14ac:dyDescent="0.2"/>
    <row r="416" ht="12.75" hidden="1" x14ac:dyDescent="0.2"/>
    <row r="417" ht="12.75" hidden="1" x14ac:dyDescent="0.2"/>
    <row r="418" ht="12.75" hidden="1" x14ac:dyDescent="0.2"/>
    <row r="419" ht="12.75" hidden="1" x14ac:dyDescent="0.2"/>
    <row r="420" ht="12.75" hidden="1" x14ac:dyDescent="0.2"/>
    <row r="421" ht="12.75" hidden="1" x14ac:dyDescent="0.2"/>
    <row r="422" ht="12.75" hidden="1" x14ac:dyDescent="0.2"/>
    <row r="423" ht="12.75" hidden="1" x14ac:dyDescent="0.2"/>
    <row r="424" ht="12.75" hidden="1" x14ac:dyDescent="0.2"/>
    <row r="425" ht="12.75" hidden="1" x14ac:dyDescent="0.2"/>
    <row r="426" ht="12.75" hidden="1" x14ac:dyDescent="0.2"/>
    <row r="427" ht="12.75" hidden="1" x14ac:dyDescent="0.2"/>
    <row r="428" ht="12.75" hidden="1" x14ac:dyDescent="0.2"/>
    <row r="429" ht="12.75" hidden="1" x14ac:dyDescent="0.2"/>
    <row r="430" ht="12.75" hidden="1" x14ac:dyDescent="0.2"/>
    <row r="431" ht="12.75" hidden="1" x14ac:dyDescent="0.2"/>
    <row r="432" ht="12.75" hidden="1" x14ac:dyDescent="0.2"/>
    <row r="433" ht="12.75" hidden="1" x14ac:dyDescent="0.2"/>
    <row r="434" ht="12.75" hidden="1" x14ac:dyDescent="0.2"/>
    <row r="435" ht="12.75" hidden="1" x14ac:dyDescent="0.2"/>
    <row r="436" ht="12.75" hidden="1" x14ac:dyDescent="0.2"/>
    <row r="437" ht="12.75" hidden="1" x14ac:dyDescent="0.2"/>
    <row r="438" ht="12.75" hidden="1" x14ac:dyDescent="0.2"/>
    <row r="439" ht="12.75" hidden="1" x14ac:dyDescent="0.2"/>
    <row r="440" ht="12.75" hidden="1" x14ac:dyDescent="0.2"/>
    <row r="441" ht="12.75" hidden="1" x14ac:dyDescent="0.2"/>
    <row r="442" ht="12.75" hidden="1" x14ac:dyDescent="0.2"/>
    <row r="443" ht="12.75" hidden="1" x14ac:dyDescent="0.2"/>
    <row r="444" ht="12.75" hidden="1" x14ac:dyDescent="0.2"/>
    <row r="445" ht="12.75" hidden="1" x14ac:dyDescent="0.2"/>
    <row r="446" ht="12.75" hidden="1" x14ac:dyDescent="0.2"/>
    <row r="447" ht="12.75" hidden="1" x14ac:dyDescent="0.2"/>
    <row r="448" ht="12.75" hidden="1" x14ac:dyDescent="0.2"/>
    <row r="449" ht="12.75" hidden="1" x14ac:dyDescent="0.2"/>
    <row r="450" ht="12.75" hidden="1" x14ac:dyDescent="0.2"/>
    <row r="451" ht="12.75" hidden="1" x14ac:dyDescent="0.2"/>
    <row r="452" ht="12.75" hidden="1" x14ac:dyDescent="0.2"/>
    <row r="453" ht="12.75" hidden="1" x14ac:dyDescent="0.2"/>
    <row r="454" ht="12.75" hidden="1" x14ac:dyDescent="0.2"/>
    <row r="455" ht="12.75" hidden="1" x14ac:dyDescent="0.2"/>
    <row r="456" ht="12.75" hidden="1" x14ac:dyDescent="0.2"/>
    <row r="457" ht="12.75" hidden="1" x14ac:dyDescent="0.2"/>
    <row r="458" ht="12.75" hidden="1" x14ac:dyDescent="0.2"/>
    <row r="459" ht="12.75" hidden="1" x14ac:dyDescent="0.2"/>
    <row r="460" ht="12.75" hidden="1" x14ac:dyDescent="0.2"/>
    <row r="461" ht="12.75" hidden="1" x14ac:dyDescent="0.2"/>
    <row r="462" ht="12.75" hidden="1" x14ac:dyDescent="0.2"/>
    <row r="463" ht="12.75" hidden="1" x14ac:dyDescent="0.2"/>
    <row r="464" ht="12.75" hidden="1" x14ac:dyDescent="0.2"/>
    <row r="465" ht="12.75" hidden="1" x14ac:dyDescent="0.2"/>
    <row r="466" ht="12.75" hidden="1" x14ac:dyDescent="0.2"/>
    <row r="467" ht="12.75" hidden="1" x14ac:dyDescent="0.2"/>
    <row r="468" ht="12.75" hidden="1" x14ac:dyDescent="0.2"/>
    <row r="469" ht="12.75" hidden="1" x14ac:dyDescent="0.2"/>
    <row r="470" ht="12.75" hidden="1" x14ac:dyDescent="0.2"/>
    <row r="471" ht="12.75" hidden="1" x14ac:dyDescent="0.2"/>
    <row r="472" ht="12.75" hidden="1" x14ac:dyDescent="0.2"/>
    <row r="473" ht="12.75" hidden="1" x14ac:dyDescent="0.2"/>
    <row r="474" ht="12.75" hidden="1" x14ac:dyDescent="0.2"/>
    <row r="475" ht="12.75" hidden="1" x14ac:dyDescent="0.2"/>
    <row r="476" ht="12.75" hidden="1" x14ac:dyDescent="0.2"/>
    <row r="477" ht="12.75" hidden="1" x14ac:dyDescent="0.2"/>
    <row r="478" ht="12.75" hidden="1" x14ac:dyDescent="0.2"/>
    <row r="479" ht="12.75" hidden="1" x14ac:dyDescent="0.2"/>
    <row r="480" ht="12.75" hidden="1" x14ac:dyDescent="0.2"/>
    <row r="481" ht="12.75" hidden="1" x14ac:dyDescent="0.2"/>
    <row r="482" ht="12.75" hidden="1" x14ac:dyDescent="0.2"/>
    <row r="483" ht="12.75" hidden="1" x14ac:dyDescent="0.2"/>
    <row r="484" ht="12.75" hidden="1" x14ac:dyDescent="0.2"/>
    <row r="485" ht="12.75" hidden="1" x14ac:dyDescent="0.2"/>
    <row r="486" ht="12.75" hidden="1" x14ac:dyDescent="0.2"/>
    <row r="487" ht="12.75" hidden="1" x14ac:dyDescent="0.2"/>
    <row r="488" ht="12.75" hidden="1" x14ac:dyDescent="0.2"/>
    <row r="489" ht="12.75" hidden="1" x14ac:dyDescent="0.2"/>
    <row r="490" ht="12.75" hidden="1" x14ac:dyDescent="0.2"/>
    <row r="491" ht="12.75" hidden="1" x14ac:dyDescent="0.2"/>
    <row r="492" ht="12.75" hidden="1" x14ac:dyDescent="0.2"/>
    <row r="493" ht="12.75" hidden="1" x14ac:dyDescent="0.2"/>
    <row r="494" ht="12.75" hidden="1" x14ac:dyDescent="0.2"/>
    <row r="495" ht="12.75" hidden="1" x14ac:dyDescent="0.2"/>
    <row r="496" ht="12.75" hidden="1" x14ac:dyDescent="0.2"/>
    <row r="497" ht="12.75" hidden="1" x14ac:dyDescent="0.2"/>
    <row r="498" ht="12.75" hidden="1" x14ac:dyDescent="0.2"/>
    <row r="499" ht="12.75" hidden="1" x14ac:dyDescent="0.2"/>
    <row r="500" ht="12.75" hidden="1" x14ac:dyDescent="0.2"/>
    <row r="501" ht="12.75" hidden="1" x14ac:dyDescent="0.2"/>
    <row r="502" ht="12.75" hidden="1" x14ac:dyDescent="0.2"/>
    <row r="503" ht="12.75" hidden="1" x14ac:dyDescent="0.2"/>
    <row r="504" ht="12.75" hidden="1" x14ac:dyDescent="0.2"/>
    <row r="505" ht="12.75" hidden="1" x14ac:dyDescent="0.2"/>
    <row r="506" ht="12.75" hidden="1" x14ac:dyDescent="0.2"/>
    <row r="507" ht="12.75" hidden="1" x14ac:dyDescent="0.2"/>
    <row r="508" ht="12.75" hidden="1" x14ac:dyDescent="0.2"/>
    <row r="509" ht="12.75" hidden="1" x14ac:dyDescent="0.2"/>
    <row r="510" ht="12.75" hidden="1" x14ac:dyDescent="0.2"/>
    <row r="511" ht="12.75" hidden="1" x14ac:dyDescent="0.2"/>
    <row r="512" ht="12.75" hidden="1" x14ac:dyDescent="0.2"/>
    <row r="513" ht="12.75" hidden="1" x14ac:dyDescent="0.2"/>
    <row r="514" ht="12.75" hidden="1" x14ac:dyDescent="0.2"/>
    <row r="515" ht="12.75" hidden="1" x14ac:dyDescent="0.2"/>
    <row r="516" ht="12.75" hidden="1" x14ac:dyDescent="0.2"/>
    <row r="517" ht="12.75" hidden="1" x14ac:dyDescent="0.2"/>
    <row r="518" ht="12.75" hidden="1" x14ac:dyDescent="0.2"/>
    <row r="519" ht="12.75" hidden="1" x14ac:dyDescent="0.2"/>
    <row r="520" ht="12.75" hidden="1" x14ac:dyDescent="0.2"/>
    <row r="521" ht="12.75" hidden="1" x14ac:dyDescent="0.2"/>
    <row r="522" ht="12.75" hidden="1" x14ac:dyDescent="0.2"/>
    <row r="523" ht="12.75" hidden="1" x14ac:dyDescent="0.2"/>
    <row r="524" ht="12.75" hidden="1" x14ac:dyDescent="0.2"/>
    <row r="525" ht="12.75" hidden="1" x14ac:dyDescent="0.2"/>
    <row r="526" ht="12.75" hidden="1" x14ac:dyDescent="0.2"/>
    <row r="527" ht="12.75" hidden="1" x14ac:dyDescent="0.2"/>
    <row r="528" ht="12.75" hidden="1" x14ac:dyDescent="0.2"/>
    <row r="529" ht="12.75" hidden="1" x14ac:dyDescent="0.2"/>
    <row r="530" ht="12.75" hidden="1" x14ac:dyDescent="0.2"/>
    <row r="531" ht="12.75" hidden="1" x14ac:dyDescent="0.2"/>
    <row r="532" ht="12.75" hidden="1" x14ac:dyDescent="0.2"/>
    <row r="533" ht="12.75" hidden="1" x14ac:dyDescent="0.2"/>
    <row r="534" ht="12.75" hidden="1" x14ac:dyDescent="0.2"/>
    <row r="535" ht="12.75" hidden="1" x14ac:dyDescent="0.2"/>
    <row r="536" ht="12.75" hidden="1" x14ac:dyDescent="0.2"/>
    <row r="537" ht="12.75" hidden="1" x14ac:dyDescent="0.2"/>
    <row r="538" ht="12.75" hidden="1" x14ac:dyDescent="0.2"/>
    <row r="539" ht="12.75" hidden="1" x14ac:dyDescent="0.2"/>
    <row r="540" ht="12.75" hidden="1" x14ac:dyDescent="0.2"/>
    <row r="541" ht="12.75" hidden="1" x14ac:dyDescent="0.2"/>
    <row r="542" ht="12.75" hidden="1" x14ac:dyDescent="0.2"/>
    <row r="543" ht="12.75" hidden="1" x14ac:dyDescent="0.2"/>
    <row r="544" ht="12.75" hidden="1" x14ac:dyDescent="0.2"/>
    <row r="545" ht="12.75" hidden="1" x14ac:dyDescent="0.2"/>
    <row r="546" ht="12.75" hidden="1" x14ac:dyDescent="0.2"/>
    <row r="547" ht="12.75" hidden="1" x14ac:dyDescent="0.2"/>
    <row r="548" ht="12.75" hidden="1" x14ac:dyDescent="0.2"/>
    <row r="549" ht="12.75" hidden="1" x14ac:dyDescent="0.2"/>
    <row r="550" ht="12.75" hidden="1" x14ac:dyDescent="0.2"/>
    <row r="551" ht="12.75" hidden="1" x14ac:dyDescent="0.2"/>
    <row r="552" ht="12.75" hidden="1" x14ac:dyDescent="0.2"/>
    <row r="553" ht="12.75" hidden="1" x14ac:dyDescent="0.2"/>
    <row r="554" ht="12.75" hidden="1" x14ac:dyDescent="0.2"/>
    <row r="555" ht="12.75" hidden="1" x14ac:dyDescent="0.2"/>
    <row r="556" ht="12.75" hidden="1" x14ac:dyDescent="0.2"/>
    <row r="557" ht="12.75" hidden="1" x14ac:dyDescent="0.2"/>
    <row r="558" ht="12.75" hidden="1" x14ac:dyDescent="0.2"/>
    <row r="559" ht="12.75" hidden="1" x14ac:dyDescent="0.2"/>
    <row r="560" ht="12.75" hidden="1" x14ac:dyDescent="0.2"/>
    <row r="561" ht="12.75" hidden="1" x14ac:dyDescent="0.2"/>
    <row r="562" ht="12.75" hidden="1" x14ac:dyDescent="0.2"/>
    <row r="563" ht="12.75" hidden="1" x14ac:dyDescent="0.2"/>
    <row r="564" ht="12.75" hidden="1" x14ac:dyDescent="0.2"/>
    <row r="565" ht="12.75" hidden="1" x14ac:dyDescent="0.2"/>
    <row r="566" ht="12.75" hidden="1" x14ac:dyDescent="0.2"/>
    <row r="567" ht="12.75" hidden="1" x14ac:dyDescent="0.2"/>
    <row r="568" ht="12.75" hidden="1" x14ac:dyDescent="0.2"/>
    <row r="569" ht="12.75" hidden="1" x14ac:dyDescent="0.2"/>
    <row r="570" ht="12.75" hidden="1" x14ac:dyDescent="0.2"/>
    <row r="571" ht="12.75" hidden="1" x14ac:dyDescent="0.2"/>
    <row r="572" ht="12.75" hidden="1" x14ac:dyDescent="0.2"/>
    <row r="573" ht="12.75" hidden="1" x14ac:dyDescent="0.2"/>
    <row r="574" ht="12.75" hidden="1" x14ac:dyDescent="0.2"/>
    <row r="575" ht="12.75" hidden="1" x14ac:dyDescent="0.2"/>
    <row r="576" ht="12.75" hidden="1" x14ac:dyDescent="0.2"/>
    <row r="577" ht="12.75" hidden="1" x14ac:dyDescent="0.2"/>
    <row r="578" ht="12.75" hidden="1" x14ac:dyDescent="0.2"/>
    <row r="579" ht="12.75" hidden="1" x14ac:dyDescent="0.2"/>
    <row r="580" ht="12.75" hidden="1" x14ac:dyDescent="0.2"/>
    <row r="581" ht="12.75" hidden="1" x14ac:dyDescent="0.2"/>
    <row r="582" ht="12.75" hidden="1" x14ac:dyDescent="0.2"/>
    <row r="583" ht="12.75" hidden="1" x14ac:dyDescent="0.2"/>
    <row r="584" ht="12.75" hidden="1" x14ac:dyDescent="0.2"/>
    <row r="585" ht="12.75" hidden="1" x14ac:dyDescent="0.2"/>
    <row r="586" ht="12.75" hidden="1" x14ac:dyDescent="0.2"/>
    <row r="587" ht="12.75" hidden="1" x14ac:dyDescent="0.2"/>
    <row r="588" ht="12.75" hidden="1" x14ac:dyDescent="0.2"/>
    <row r="589" ht="12.75" hidden="1" x14ac:dyDescent="0.2"/>
    <row r="590" ht="12.75" hidden="1" x14ac:dyDescent="0.2"/>
    <row r="591" ht="12.75" hidden="1" x14ac:dyDescent="0.2"/>
    <row r="592" ht="12.75" hidden="1" x14ac:dyDescent="0.2"/>
    <row r="593" ht="12.75" hidden="1" x14ac:dyDescent="0.2"/>
    <row r="594" ht="12.75" hidden="1" x14ac:dyDescent="0.2"/>
    <row r="595" ht="12.75" hidden="1" x14ac:dyDescent="0.2"/>
    <row r="596" ht="12.75" hidden="1" x14ac:dyDescent="0.2"/>
    <row r="597" ht="12.75" hidden="1" x14ac:dyDescent="0.2"/>
    <row r="598" ht="12.75" hidden="1" x14ac:dyDescent="0.2"/>
    <row r="599" ht="12.75" hidden="1" x14ac:dyDescent="0.2"/>
    <row r="600" ht="12.75" hidden="1" x14ac:dyDescent="0.2"/>
    <row r="601" ht="12.75" hidden="1" x14ac:dyDescent="0.2"/>
    <row r="602" ht="12.75" hidden="1" x14ac:dyDescent="0.2"/>
    <row r="603" ht="12.75" hidden="1" x14ac:dyDescent="0.2"/>
    <row r="604" ht="12.75" hidden="1" x14ac:dyDescent="0.2"/>
    <row r="605" ht="12.75" hidden="1" x14ac:dyDescent="0.2"/>
    <row r="606" ht="12.75" hidden="1" x14ac:dyDescent="0.2"/>
    <row r="607" ht="12.75" hidden="1" x14ac:dyDescent="0.2"/>
    <row r="608" ht="12.75" hidden="1" x14ac:dyDescent="0.2"/>
    <row r="609" ht="12.75" hidden="1" x14ac:dyDescent="0.2"/>
    <row r="610" ht="12.75" hidden="1" x14ac:dyDescent="0.2"/>
    <row r="611" ht="12.75" hidden="1" x14ac:dyDescent="0.2"/>
    <row r="612" ht="12.75" hidden="1" x14ac:dyDescent="0.2"/>
    <row r="613" ht="12.75" hidden="1" x14ac:dyDescent="0.2"/>
    <row r="614" ht="12.75" hidden="1" x14ac:dyDescent="0.2"/>
    <row r="615" ht="12.75" hidden="1" x14ac:dyDescent="0.2"/>
    <row r="616" ht="12.75" hidden="1" x14ac:dyDescent="0.2"/>
    <row r="617" ht="12.75" hidden="1" x14ac:dyDescent="0.2"/>
    <row r="618" ht="12.75" hidden="1" x14ac:dyDescent="0.2"/>
    <row r="619" ht="12.75" hidden="1" x14ac:dyDescent="0.2"/>
    <row r="620" ht="12.75" hidden="1" x14ac:dyDescent="0.2"/>
    <row r="621" ht="12.75" hidden="1" x14ac:dyDescent="0.2"/>
    <row r="622" ht="12.75" hidden="1" x14ac:dyDescent="0.2"/>
    <row r="623" ht="12.75" hidden="1" x14ac:dyDescent="0.2"/>
    <row r="624" ht="12.75" hidden="1" x14ac:dyDescent="0.2"/>
    <row r="625" ht="12.75" hidden="1" x14ac:dyDescent="0.2"/>
    <row r="626" ht="12.75" hidden="1" x14ac:dyDescent="0.2"/>
    <row r="627" ht="12.75" hidden="1" x14ac:dyDescent="0.2"/>
    <row r="628" ht="12.75" hidden="1" x14ac:dyDescent="0.2"/>
    <row r="629" ht="12.75" hidden="1" x14ac:dyDescent="0.2"/>
    <row r="630" ht="12.75" hidden="1" x14ac:dyDescent="0.2"/>
    <row r="631" ht="12.75" hidden="1" x14ac:dyDescent="0.2"/>
    <row r="632" ht="12.75" hidden="1" x14ac:dyDescent="0.2"/>
    <row r="633" ht="12.75" hidden="1" x14ac:dyDescent="0.2"/>
    <row r="634" ht="12.75" hidden="1" x14ac:dyDescent="0.2"/>
    <row r="635" ht="12.75" hidden="1" x14ac:dyDescent="0.2"/>
    <row r="636" ht="12.75" hidden="1" x14ac:dyDescent="0.2"/>
    <row r="637" ht="12.75" hidden="1" x14ac:dyDescent="0.2"/>
    <row r="638" ht="12.75" hidden="1" x14ac:dyDescent="0.2"/>
    <row r="639" ht="12.75" hidden="1" x14ac:dyDescent="0.2"/>
    <row r="640" ht="12.75" hidden="1" x14ac:dyDescent="0.2"/>
    <row r="641" ht="12.75" hidden="1" x14ac:dyDescent="0.2"/>
    <row r="642" ht="12.75" hidden="1" x14ac:dyDescent="0.2"/>
    <row r="643" ht="12.75" hidden="1" x14ac:dyDescent="0.2"/>
    <row r="644" ht="12.75" hidden="1" x14ac:dyDescent="0.2"/>
    <row r="645" ht="12.75" hidden="1" x14ac:dyDescent="0.2"/>
    <row r="646" ht="12.75" hidden="1" x14ac:dyDescent="0.2"/>
    <row r="647" ht="12.75" hidden="1" x14ac:dyDescent="0.2"/>
    <row r="648" ht="12.75" hidden="1" x14ac:dyDescent="0.2"/>
    <row r="649" ht="12.75" hidden="1" x14ac:dyDescent="0.2"/>
    <row r="650" ht="12.75" hidden="1" x14ac:dyDescent="0.2"/>
    <row r="651" ht="12.75" hidden="1" x14ac:dyDescent="0.2"/>
    <row r="652" ht="12.75" hidden="1" x14ac:dyDescent="0.2"/>
    <row r="653" ht="12.75" hidden="1" x14ac:dyDescent="0.2"/>
    <row r="654" ht="12.75" hidden="1" x14ac:dyDescent="0.2"/>
    <row r="655" ht="12.75" hidden="1" x14ac:dyDescent="0.2"/>
    <row r="656" ht="12.75" hidden="1" x14ac:dyDescent="0.2"/>
    <row r="657" ht="12.75" hidden="1" x14ac:dyDescent="0.2"/>
    <row r="658" ht="12.75" hidden="1" x14ac:dyDescent="0.2"/>
    <row r="659" ht="12.75" hidden="1" x14ac:dyDescent="0.2"/>
    <row r="660" ht="12.75" hidden="1" x14ac:dyDescent="0.2"/>
    <row r="661" ht="12.75" hidden="1" x14ac:dyDescent="0.2"/>
    <row r="662" ht="12.75" hidden="1" x14ac:dyDescent="0.2"/>
    <row r="663" ht="12.75" hidden="1" x14ac:dyDescent="0.2"/>
    <row r="664" ht="12.75" hidden="1" x14ac:dyDescent="0.2"/>
    <row r="665" ht="12.75" hidden="1" x14ac:dyDescent="0.2"/>
    <row r="666" ht="12.75" hidden="1" x14ac:dyDescent="0.2"/>
    <row r="667" ht="12.75" hidden="1" x14ac:dyDescent="0.2"/>
    <row r="668" ht="12.75" hidden="1" x14ac:dyDescent="0.2"/>
    <row r="669" ht="12.75" hidden="1" x14ac:dyDescent="0.2"/>
    <row r="670" ht="12.75" hidden="1" x14ac:dyDescent="0.2"/>
    <row r="671" ht="12.75" hidden="1" x14ac:dyDescent="0.2"/>
    <row r="672" ht="12.75" hidden="1" x14ac:dyDescent="0.2"/>
    <row r="673" ht="12.75" hidden="1" x14ac:dyDescent="0.2"/>
    <row r="674" ht="12.75" hidden="1" x14ac:dyDescent="0.2"/>
    <row r="675" ht="12.75" hidden="1" x14ac:dyDescent="0.2"/>
    <row r="676" ht="12.75" hidden="1" x14ac:dyDescent="0.2"/>
    <row r="677" ht="12.75" hidden="1" x14ac:dyDescent="0.2"/>
    <row r="678" ht="12.75" hidden="1" x14ac:dyDescent="0.2"/>
    <row r="679" ht="12.75" hidden="1" x14ac:dyDescent="0.2"/>
    <row r="680" ht="12.75" hidden="1" x14ac:dyDescent="0.2"/>
    <row r="681" ht="12.75" hidden="1" x14ac:dyDescent="0.2"/>
    <row r="682" ht="12.75" hidden="1" x14ac:dyDescent="0.2"/>
    <row r="683" ht="12.75" hidden="1" x14ac:dyDescent="0.2"/>
    <row r="684" ht="12.75" hidden="1" x14ac:dyDescent="0.2"/>
    <row r="685" ht="12.75" hidden="1" x14ac:dyDescent="0.2"/>
    <row r="686" ht="12.75" hidden="1" x14ac:dyDescent="0.2"/>
    <row r="687" ht="12.75" hidden="1" x14ac:dyDescent="0.2"/>
    <row r="688" ht="12.75" hidden="1" x14ac:dyDescent="0.2"/>
    <row r="689" ht="12.75" hidden="1" x14ac:dyDescent="0.2"/>
    <row r="690" ht="12.75" hidden="1" x14ac:dyDescent="0.2"/>
    <row r="691" ht="12.75" hidden="1" x14ac:dyDescent="0.2"/>
    <row r="692" ht="12.75" hidden="1" x14ac:dyDescent="0.2"/>
    <row r="693" ht="12.75" hidden="1" x14ac:dyDescent="0.2"/>
    <row r="694" ht="12.75" hidden="1" x14ac:dyDescent="0.2"/>
    <row r="695" ht="12.75" hidden="1" x14ac:dyDescent="0.2"/>
    <row r="696" ht="12.75" hidden="1" x14ac:dyDescent="0.2"/>
    <row r="697" ht="12.75" hidden="1" x14ac:dyDescent="0.2"/>
    <row r="698" ht="12.75" hidden="1" x14ac:dyDescent="0.2"/>
    <row r="699" ht="12.75" hidden="1" x14ac:dyDescent="0.2"/>
    <row r="700" ht="12.75" hidden="1" x14ac:dyDescent="0.2"/>
    <row r="701" ht="12.75" hidden="1" x14ac:dyDescent="0.2"/>
    <row r="702" ht="12.75" hidden="1" x14ac:dyDescent="0.2"/>
    <row r="703" ht="12.75" hidden="1" x14ac:dyDescent="0.2"/>
    <row r="704" ht="12.75" hidden="1" x14ac:dyDescent="0.2"/>
    <row r="705" ht="12.75" hidden="1" x14ac:dyDescent="0.2"/>
    <row r="706" ht="12.75" hidden="1" x14ac:dyDescent="0.2"/>
    <row r="707" ht="12.75" hidden="1" x14ac:dyDescent="0.2"/>
    <row r="708" ht="12.75" hidden="1" x14ac:dyDescent="0.2"/>
    <row r="709" ht="12.75" hidden="1" x14ac:dyDescent="0.2"/>
    <row r="710" ht="12.75" hidden="1" x14ac:dyDescent="0.2"/>
    <row r="711" ht="12.75" hidden="1" x14ac:dyDescent="0.2"/>
    <row r="712" ht="12.75" hidden="1" x14ac:dyDescent="0.2"/>
    <row r="713" ht="12.75" hidden="1" x14ac:dyDescent="0.2"/>
    <row r="714" ht="12.75" hidden="1" x14ac:dyDescent="0.2"/>
    <row r="715" ht="12.75" hidden="1" x14ac:dyDescent="0.2"/>
    <row r="716" ht="12.75" hidden="1" x14ac:dyDescent="0.2"/>
    <row r="717" ht="12.75" hidden="1" x14ac:dyDescent="0.2"/>
    <row r="718" ht="12.75" hidden="1" x14ac:dyDescent="0.2"/>
    <row r="719" ht="12.75" hidden="1" x14ac:dyDescent="0.2"/>
    <row r="720" ht="12.75" hidden="1" x14ac:dyDescent="0.2"/>
    <row r="721" ht="12.75" hidden="1" x14ac:dyDescent="0.2"/>
    <row r="722" ht="12.75" hidden="1" x14ac:dyDescent="0.2"/>
    <row r="723" ht="12.75" hidden="1" x14ac:dyDescent="0.2"/>
    <row r="724" ht="12.75" hidden="1" x14ac:dyDescent="0.2"/>
    <row r="725" ht="12.75" hidden="1" x14ac:dyDescent="0.2"/>
    <row r="726" ht="12.75" hidden="1" x14ac:dyDescent="0.2"/>
    <row r="727" ht="12.75" hidden="1" x14ac:dyDescent="0.2"/>
    <row r="728" ht="12.75" hidden="1" x14ac:dyDescent="0.2"/>
    <row r="729" ht="12.75" hidden="1" x14ac:dyDescent="0.2"/>
    <row r="730" ht="12.75" hidden="1" x14ac:dyDescent="0.2"/>
    <row r="731" ht="12.75" hidden="1" x14ac:dyDescent="0.2"/>
    <row r="732" ht="12.75" hidden="1" x14ac:dyDescent="0.2"/>
    <row r="733" ht="12.75" hidden="1" x14ac:dyDescent="0.2"/>
    <row r="734" ht="12.75" hidden="1" x14ac:dyDescent="0.2"/>
    <row r="735" ht="12.75" hidden="1" x14ac:dyDescent="0.2"/>
    <row r="736" ht="12.75" hidden="1" x14ac:dyDescent="0.2"/>
    <row r="737" ht="12.75" hidden="1" x14ac:dyDescent="0.2"/>
    <row r="738" ht="12.75" hidden="1" x14ac:dyDescent="0.2"/>
    <row r="739" ht="12.75" hidden="1" x14ac:dyDescent="0.2"/>
    <row r="740" ht="12.75" hidden="1" x14ac:dyDescent="0.2"/>
    <row r="741" ht="12.75" hidden="1" x14ac:dyDescent="0.2"/>
    <row r="742" ht="12.75" hidden="1" x14ac:dyDescent="0.2"/>
    <row r="743" ht="12.75" hidden="1" x14ac:dyDescent="0.2"/>
    <row r="744" ht="12.75" hidden="1" x14ac:dyDescent="0.2"/>
    <row r="745" ht="12.75" hidden="1" x14ac:dyDescent="0.2"/>
    <row r="746" ht="12.75" hidden="1" x14ac:dyDescent="0.2"/>
    <row r="747" ht="12.75" hidden="1" x14ac:dyDescent="0.2"/>
    <row r="748" ht="12.75" hidden="1" x14ac:dyDescent="0.2"/>
    <row r="749" ht="12.75" hidden="1" x14ac:dyDescent="0.2"/>
    <row r="750" ht="12.75" hidden="1" x14ac:dyDescent="0.2"/>
    <row r="751" ht="12.75" hidden="1" x14ac:dyDescent="0.2"/>
    <row r="752" ht="12.75" hidden="1" x14ac:dyDescent="0.2"/>
    <row r="753" ht="12.75" hidden="1" x14ac:dyDescent="0.2"/>
    <row r="754" ht="12.75" hidden="1" x14ac:dyDescent="0.2"/>
    <row r="755" ht="12.75" hidden="1" x14ac:dyDescent="0.2"/>
    <row r="756" ht="12.75" hidden="1" x14ac:dyDescent="0.2"/>
    <row r="757" ht="12.75" hidden="1" x14ac:dyDescent="0.2"/>
    <row r="758" ht="12.75" hidden="1" x14ac:dyDescent="0.2"/>
    <row r="759" ht="12.75" hidden="1" x14ac:dyDescent="0.2"/>
    <row r="760" ht="12.75" hidden="1" x14ac:dyDescent="0.2"/>
    <row r="761" ht="12.75" hidden="1" x14ac:dyDescent="0.2"/>
    <row r="762" ht="12.75" hidden="1" x14ac:dyDescent="0.2"/>
    <row r="763" ht="12.75" hidden="1" x14ac:dyDescent="0.2"/>
    <row r="764" ht="12.75" hidden="1" x14ac:dyDescent="0.2"/>
    <row r="765" ht="12.75" hidden="1" x14ac:dyDescent="0.2"/>
    <row r="766" ht="12.75" hidden="1" x14ac:dyDescent="0.2"/>
    <row r="767" ht="12.75" hidden="1" x14ac:dyDescent="0.2"/>
    <row r="768" ht="12.75" hidden="1" x14ac:dyDescent="0.2"/>
    <row r="769" ht="12.75" hidden="1" x14ac:dyDescent="0.2"/>
    <row r="770" ht="12.75" hidden="1" x14ac:dyDescent="0.2"/>
    <row r="771" ht="12.75" hidden="1" x14ac:dyDescent="0.2"/>
    <row r="772" ht="12.75" hidden="1" x14ac:dyDescent="0.2"/>
    <row r="773" ht="12.75" hidden="1" x14ac:dyDescent="0.2"/>
    <row r="774" ht="12.75" hidden="1" x14ac:dyDescent="0.2"/>
    <row r="775" ht="12.75" hidden="1" x14ac:dyDescent="0.2"/>
    <row r="776" ht="12.75" hidden="1" x14ac:dyDescent="0.2"/>
    <row r="777" ht="12.75" hidden="1" x14ac:dyDescent="0.2"/>
    <row r="778" ht="12.75" hidden="1" x14ac:dyDescent="0.2"/>
    <row r="779" ht="12.75" hidden="1" x14ac:dyDescent="0.2"/>
    <row r="780" ht="12.75" hidden="1" x14ac:dyDescent="0.2"/>
    <row r="781" ht="12.75" hidden="1" x14ac:dyDescent="0.2"/>
    <row r="782" ht="12.75" hidden="1" x14ac:dyDescent="0.2"/>
    <row r="783" ht="12.75" hidden="1" x14ac:dyDescent="0.2"/>
    <row r="784" ht="12.75" hidden="1" x14ac:dyDescent="0.2"/>
    <row r="785" ht="12.75" hidden="1" x14ac:dyDescent="0.2"/>
    <row r="786" ht="12.75" hidden="1" x14ac:dyDescent="0.2"/>
    <row r="787" ht="12.75" hidden="1" x14ac:dyDescent="0.2"/>
    <row r="788" ht="12.75" hidden="1" x14ac:dyDescent="0.2"/>
    <row r="789" ht="12.75" hidden="1" x14ac:dyDescent="0.2"/>
    <row r="790" ht="12.75" hidden="1" x14ac:dyDescent="0.2"/>
    <row r="791" ht="12.75" hidden="1" x14ac:dyDescent="0.2"/>
    <row r="792" ht="12.75" hidden="1" x14ac:dyDescent="0.2"/>
    <row r="793" ht="12.75" hidden="1" x14ac:dyDescent="0.2"/>
    <row r="794" ht="12.75" hidden="1" x14ac:dyDescent="0.2"/>
    <row r="795" ht="12.75" hidden="1" x14ac:dyDescent="0.2"/>
    <row r="796" ht="12.75" hidden="1" x14ac:dyDescent="0.2"/>
    <row r="797" ht="12.75" hidden="1" x14ac:dyDescent="0.2"/>
    <row r="798" ht="12.75" hidden="1" x14ac:dyDescent="0.2"/>
    <row r="799" ht="12.75" hidden="1" x14ac:dyDescent="0.2"/>
    <row r="800" ht="12.75" hidden="1" x14ac:dyDescent="0.2"/>
    <row r="801" ht="12.75" hidden="1" x14ac:dyDescent="0.2"/>
    <row r="802" ht="12.75" hidden="1" x14ac:dyDescent="0.2"/>
    <row r="803" ht="12.75" hidden="1" x14ac:dyDescent="0.2"/>
    <row r="804" ht="12.75" hidden="1" x14ac:dyDescent="0.2"/>
    <row r="805" ht="12.75" hidden="1" x14ac:dyDescent="0.2"/>
    <row r="806" ht="12.75" hidden="1" x14ac:dyDescent="0.2"/>
    <row r="807" ht="12.75" hidden="1" x14ac:dyDescent="0.2"/>
    <row r="808" ht="12.75" hidden="1" x14ac:dyDescent="0.2"/>
    <row r="809" ht="12.75" hidden="1" x14ac:dyDescent="0.2"/>
    <row r="810" ht="12.75" hidden="1" x14ac:dyDescent="0.2"/>
    <row r="811" ht="12.75" hidden="1" x14ac:dyDescent="0.2"/>
    <row r="812" ht="12.75" hidden="1" x14ac:dyDescent="0.2"/>
    <row r="813" ht="12.75" hidden="1" x14ac:dyDescent="0.2"/>
    <row r="814" ht="12.75" hidden="1" x14ac:dyDescent="0.2"/>
    <row r="815" ht="12.75" hidden="1" x14ac:dyDescent="0.2"/>
    <row r="816" ht="12.75" hidden="1" x14ac:dyDescent="0.2"/>
    <row r="817" ht="12.75" hidden="1" x14ac:dyDescent="0.2"/>
    <row r="818" ht="12.75" hidden="1" x14ac:dyDescent="0.2"/>
    <row r="819" ht="12.75" hidden="1" x14ac:dyDescent="0.2"/>
    <row r="820" ht="12.75" hidden="1" x14ac:dyDescent="0.2"/>
    <row r="821" ht="12.75" hidden="1" x14ac:dyDescent="0.2"/>
    <row r="822" ht="12.75" hidden="1" x14ac:dyDescent="0.2"/>
    <row r="823" ht="12.75" hidden="1" x14ac:dyDescent="0.2"/>
    <row r="824" ht="12.75" hidden="1" x14ac:dyDescent="0.2"/>
    <row r="825" ht="12.75" hidden="1" x14ac:dyDescent="0.2"/>
    <row r="826" ht="12.75" hidden="1" x14ac:dyDescent="0.2"/>
    <row r="827" ht="12.75" hidden="1" x14ac:dyDescent="0.2"/>
    <row r="828" ht="12.75" hidden="1" x14ac:dyDescent="0.2"/>
    <row r="829" ht="12.75" hidden="1" x14ac:dyDescent="0.2"/>
    <row r="830" ht="12.75" hidden="1" x14ac:dyDescent="0.2"/>
    <row r="831" ht="12.75" hidden="1" x14ac:dyDescent="0.2"/>
    <row r="832" ht="12.75" hidden="1" x14ac:dyDescent="0.2"/>
    <row r="833" ht="12.75" hidden="1" x14ac:dyDescent="0.2"/>
    <row r="834" ht="12.75" hidden="1" x14ac:dyDescent="0.2"/>
    <row r="835" ht="12.75" hidden="1" x14ac:dyDescent="0.2"/>
    <row r="836" ht="12.75" hidden="1" x14ac:dyDescent="0.2"/>
    <row r="837" ht="12.75" hidden="1" x14ac:dyDescent="0.2"/>
    <row r="838" ht="12.75" hidden="1" x14ac:dyDescent="0.2"/>
    <row r="839" ht="12.75" hidden="1" x14ac:dyDescent="0.2"/>
    <row r="840" ht="12.75" hidden="1" x14ac:dyDescent="0.2"/>
    <row r="841" ht="12.75" hidden="1" x14ac:dyDescent="0.2"/>
    <row r="842" ht="12.75" hidden="1" x14ac:dyDescent="0.2"/>
    <row r="843" ht="12.75" hidden="1" x14ac:dyDescent="0.2"/>
    <row r="844" ht="12.75" hidden="1" x14ac:dyDescent="0.2"/>
    <row r="845" ht="12.75" hidden="1" x14ac:dyDescent="0.2"/>
    <row r="846" ht="12.75" hidden="1" x14ac:dyDescent="0.2"/>
    <row r="847" ht="12.75" hidden="1" x14ac:dyDescent="0.2"/>
    <row r="848" ht="12.75" hidden="1" x14ac:dyDescent="0.2"/>
    <row r="849" ht="12.75" hidden="1" x14ac:dyDescent="0.2"/>
    <row r="850" ht="12.75" hidden="1" x14ac:dyDescent="0.2"/>
    <row r="851" ht="12.75" hidden="1" x14ac:dyDescent="0.2"/>
    <row r="852" ht="12.75" hidden="1" x14ac:dyDescent="0.2"/>
    <row r="853" ht="12.75" hidden="1" x14ac:dyDescent="0.2"/>
    <row r="854" ht="12.75" hidden="1" x14ac:dyDescent="0.2"/>
    <row r="855" ht="12.75" hidden="1" x14ac:dyDescent="0.2"/>
    <row r="856" ht="12.75" hidden="1" x14ac:dyDescent="0.2"/>
    <row r="857" ht="12.75" hidden="1" x14ac:dyDescent="0.2"/>
    <row r="858" ht="12.75" hidden="1" x14ac:dyDescent="0.2"/>
    <row r="859" ht="12.75" hidden="1" x14ac:dyDescent="0.2"/>
    <row r="860" ht="12.75" hidden="1" x14ac:dyDescent="0.2"/>
    <row r="861" ht="12.75" hidden="1" x14ac:dyDescent="0.2"/>
    <row r="862" ht="12.75" hidden="1" x14ac:dyDescent="0.2"/>
    <row r="863" ht="12.75" hidden="1" x14ac:dyDescent="0.2"/>
    <row r="864" ht="12.75" hidden="1" x14ac:dyDescent="0.2"/>
    <row r="865" ht="12.75" hidden="1" x14ac:dyDescent="0.2"/>
    <row r="866" ht="12.75" hidden="1" x14ac:dyDescent="0.2"/>
    <row r="867" ht="12.75" hidden="1" x14ac:dyDescent="0.2"/>
    <row r="868" ht="12.75" hidden="1" x14ac:dyDescent="0.2"/>
    <row r="869" ht="12.75" hidden="1" x14ac:dyDescent="0.2"/>
    <row r="870" ht="12.75" hidden="1" x14ac:dyDescent="0.2"/>
    <row r="871" ht="12.75" hidden="1" x14ac:dyDescent="0.2"/>
    <row r="872" ht="12.75" hidden="1" x14ac:dyDescent="0.2"/>
    <row r="873" ht="12.75" hidden="1" x14ac:dyDescent="0.2"/>
    <row r="874" ht="12.75" hidden="1" x14ac:dyDescent="0.2"/>
    <row r="875" ht="12.75" hidden="1" x14ac:dyDescent="0.2"/>
    <row r="876" ht="12.75" hidden="1" x14ac:dyDescent="0.2"/>
    <row r="877" ht="12.75" hidden="1" x14ac:dyDescent="0.2"/>
    <row r="878" ht="12.75" hidden="1" x14ac:dyDescent="0.2"/>
    <row r="879" ht="12.75" hidden="1" x14ac:dyDescent="0.2"/>
    <row r="880" ht="12.75" hidden="1" x14ac:dyDescent="0.2"/>
    <row r="881" ht="12.75" hidden="1" x14ac:dyDescent="0.2"/>
    <row r="882" ht="12.75" hidden="1" x14ac:dyDescent="0.2"/>
    <row r="883" ht="12.75" hidden="1" x14ac:dyDescent="0.2"/>
    <row r="884" ht="12.75" hidden="1" x14ac:dyDescent="0.2"/>
    <row r="885" ht="12.75" hidden="1" x14ac:dyDescent="0.2"/>
    <row r="886" ht="12.75" hidden="1" x14ac:dyDescent="0.2"/>
    <row r="887" ht="12.75" hidden="1" x14ac:dyDescent="0.2"/>
    <row r="888" ht="12.75" hidden="1" x14ac:dyDescent="0.2"/>
    <row r="889" ht="12.75" hidden="1" x14ac:dyDescent="0.2"/>
    <row r="890" ht="12.75" hidden="1" x14ac:dyDescent="0.2"/>
    <row r="891" ht="12.75" hidden="1" x14ac:dyDescent="0.2"/>
    <row r="892" ht="12.75" hidden="1" x14ac:dyDescent="0.2"/>
    <row r="893" ht="12.75" hidden="1" x14ac:dyDescent="0.2"/>
    <row r="894" ht="12.75" hidden="1" x14ac:dyDescent="0.2"/>
    <row r="895" ht="12.75" hidden="1" x14ac:dyDescent="0.2"/>
    <row r="896" ht="12.75" hidden="1" x14ac:dyDescent="0.2"/>
    <row r="897" ht="12.75" hidden="1" x14ac:dyDescent="0.2"/>
    <row r="898" ht="12.75" hidden="1" x14ac:dyDescent="0.2"/>
    <row r="899" ht="12.75" hidden="1" x14ac:dyDescent="0.2"/>
    <row r="900" ht="12.75" hidden="1" x14ac:dyDescent="0.2"/>
    <row r="901" ht="12.75" hidden="1" x14ac:dyDescent="0.2"/>
    <row r="902" ht="12.75" hidden="1" x14ac:dyDescent="0.2"/>
    <row r="903" ht="12.75" hidden="1" x14ac:dyDescent="0.2"/>
    <row r="904" ht="12.75" hidden="1" x14ac:dyDescent="0.2"/>
    <row r="905" ht="12.75" hidden="1" x14ac:dyDescent="0.2"/>
    <row r="906" ht="12.75" hidden="1" x14ac:dyDescent="0.2"/>
    <row r="907" ht="12.75" hidden="1" x14ac:dyDescent="0.2"/>
    <row r="908" ht="12.75" hidden="1" x14ac:dyDescent="0.2"/>
    <row r="909" ht="12.75" hidden="1" x14ac:dyDescent="0.2"/>
    <row r="910" ht="12.75" hidden="1" x14ac:dyDescent="0.2"/>
    <row r="911" ht="12.75" hidden="1" x14ac:dyDescent="0.2"/>
    <row r="912" ht="12.75" hidden="1" x14ac:dyDescent="0.2"/>
    <row r="913" ht="12.75" hidden="1" x14ac:dyDescent="0.2"/>
    <row r="914" ht="12.75" hidden="1" x14ac:dyDescent="0.2"/>
    <row r="915" ht="12.75" hidden="1" x14ac:dyDescent="0.2"/>
    <row r="916" ht="12.75" hidden="1" x14ac:dyDescent="0.2"/>
    <row r="917" ht="12.75" hidden="1" x14ac:dyDescent="0.2"/>
    <row r="918" ht="12.75" hidden="1" x14ac:dyDescent="0.2"/>
    <row r="919" ht="12.75" hidden="1" x14ac:dyDescent="0.2"/>
    <row r="920" ht="12.75" hidden="1" x14ac:dyDescent="0.2"/>
    <row r="921" ht="12.75" hidden="1" x14ac:dyDescent="0.2"/>
    <row r="922" ht="12.75" hidden="1" x14ac:dyDescent="0.2"/>
    <row r="923" ht="12.75" hidden="1" x14ac:dyDescent="0.2"/>
    <row r="924" ht="12.75" hidden="1" x14ac:dyDescent="0.2"/>
    <row r="925" ht="12.75" hidden="1" x14ac:dyDescent="0.2"/>
    <row r="926" ht="12.75" hidden="1" x14ac:dyDescent="0.2"/>
    <row r="927" ht="12.75" hidden="1" x14ac:dyDescent="0.2"/>
    <row r="928" ht="12.75" hidden="1" x14ac:dyDescent="0.2"/>
    <row r="929" ht="12.75" hidden="1" x14ac:dyDescent="0.2"/>
    <row r="930" ht="12.75" hidden="1" x14ac:dyDescent="0.2"/>
    <row r="931" ht="12.75" hidden="1" x14ac:dyDescent="0.2"/>
    <row r="932" ht="12.75" hidden="1" x14ac:dyDescent="0.2"/>
    <row r="933" ht="12.75" hidden="1" x14ac:dyDescent="0.2"/>
    <row r="934" ht="12.75" hidden="1" x14ac:dyDescent="0.2"/>
    <row r="935" ht="12.75" hidden="1" x14ac:dyDescent="0.2"/>
    <row r="936" ht="12.75" hidden="1" x14ac:dyDescent="0.2"/>
    <row r="937" ht="12.75" hidden="1" x14ac:dyDescent="0.2"/>
    <row r="938" ht="12.75" hidden="1" x14ac:dyDescent="0.2"/>
    <row r="939" ht="12.75" hidden="1" x14ac:dyDescent="0.2"/>
    <row r="940" ht="12.75" hidden="1" x14ac:dyDescent="0.2"/>
    <row r="941" ht="12.75" hidden="1" x14ac:dyDescent="0.2"/>
    <row r="942" ht="12.75" hidden="1" x14ac:dyDescent="0.2"/>
    <row r="943" ht="12.75" hidden="1" x14ac:dyDescent="0.2"/>
    <row r="944" ht="12.75" hidden="1" x14ac:dyDescent="0.2"/>
    <row r="945" ht="12.75" hidden="1" x14ac:dyDescent="0.2"/>
    <row r="946" ht="12.75" hidden="1" x14ac:dyDescent="0.2"/>
    <row r="947" ht="12.75" hidden="1" x14ac:dyDescent="0.2"/>
    <row r="948" ht="12.75" hidden="1" x14ac:dyDescent="0.2"/>
    <row r="949" ht="12.75" hidden="1" x14ac:dyDescent="0.2"/>
    <row r="950" ht="12.75" hidden="1" x14ac:dyDescent="0.2"/>
    <row r="951" ht="12.75" hidden="1" x14ac:dyDescent="0.2"/>
    <row r="952" ht="12.75" hidden="1" x14ac:dyDescent="0.2"/>
    <row r="953" ht="12.75" hidden="1" x14ac:dyDescent="0.2"/>
    <row r="954" ht="12.75" hidden="1" x14ac:dyDescent="0.2"/>
    <row r="955" ht="12.75" hidden="1" x14ac:dyDescent="0.2"/>
    <row r="956" ht="12.75" hidden="1" x14ac:dyDescent="0.2"/>
    <row r="957" ht="12.75" hidden="1" x14ac:dyDescent="0.2"/>
    <row r="958" ht="12.75" hidden="1" x14ac:dyDescent="0.2"/>
    <row r="959" ht="12.75" hidden="1" x14ac:dyDescent="0.2"/>
    <row r="960" ht="12.75" hidden="1" x14ac:dyDescent="0.2"/>
    <row r="961" ht="12.75" hidden="1" x14ac:dyDescent="0.2"/>
    <row r="962" ht="12.75" hidden="1" x14ac:dyDescent="0.2"/>
    <row r="963" ht="12.75" hidden="1" x14ac:dyDescent="0.2"/>
    <row r="964" ht="12.75" hidden="1" x14ac:dyDescent="0.2"/>
    <row r="965" ht="12.75" hidden="1" x14ac:dyDescent="0.2"/>
    <row r="966" ht="12.75" hidden="1" x14ac:dyDescent="0.2"/>
    <row r="967" ht="12.75" hidden="1" x14ac:dyDescent="0.2"/>
    <row r="968" ht="12.75" hidden="1" x14ac:dyDescent="0.2"/>
    <row r="969" ht="12.75" hidden="1" x14ac:dyDescent="0.2"/>
    <row r="970" ht="12.75" hidden="1" x14ac:dyDescent="0.2"/>
    <row r="971" ht="12.75" hidden="1" x14ac:dyDescent="0.2"/>
    <row r="972" ht="12.75" hidden="1" x14ac:dyDescent="0.2"/>
    <row r="973" ht="12.75" hidden="1" x14ac:dyDescent="0.2"/>
    <row r="974" ht="12.75" hidden="1" x14ac:dyDescent="0.2"/>
    <row r="975" ht="12.75" hidden="1" x14ac:dyDescent="0.2"/>
    <row r="976" ht="12.75" hidden="1" x14ac:dyDescent="0.2"/>
    <row r="977" ht="12.75" hidden="1" x14ac:dyDescent="0.2"/>
    <row r="978" ht="12.75" hidden="1" x14ac:dyDescent="0.2"/>
    <row r="979" ht="12.75" hidden="1" x14ac:dyDescent="0.2"/>
    <row r="980" ht="12.75" hidden="1" x14ac:dyDescent="0.2"/>
    <row r="981" ht="12.75" hidden="1" x14ac:dyDescent="0.2"/>
    <row r="982" ht="12.75" hidden="1" x14ac:dyDescent="0.2"/>
    <row r="983" ht="12.75" hidden="1" x14ac:dyDescent="0.2"/>
    <row r="984" ht="12.75" hidden="1" x14ac:dyDescent="0.2"/>
    <row r="985" ht="12.75" hidden="1" x14ac:dyDescent="0.2"/>
    <row r="986" ht="12.75" hidden="1" x14ac:dyDescent="0.2"/>
    <row r="987" ht="12.75" hidden="1" x14ac:dyDescent="0.2"/>
    <row r="988" ht="12.75" hidden="1" x14ac:dyDescent="0.2"/>
    <row r="989" ht="12.75" hidden="1" x14ac:dyDescent="0.2"/>
    <row r="990" ht="12.75" hidden="1" x14ac:dyDescent="0.2"/>
    <row r="991" ht="12.75" hidden="1" x14ac:dyDescent="0.2"/>
    <row r="992" ht="12.75" hidden="1" x14ac:dyDescent="0.2"/>
    <row r="993" ht="12.75" hidden="1" x14ac:dyDescent="0.2"/>
    <row r="994" ht="12.75" hidden="1" x14ac:dyDescent="0.2"/>
    <row r="995" ht="12.75" hidden="1" x14ac:dyDescent="0.2"/>
    <row r="996" ht="12.75" hidden="1" x14ac:dyDescent="0.2"/>
    <row r="997" ht="12.75" hidden="1" x14ac:dyDescent="0.2"/>
    <row r="998" ht="12.75" hidden="1" x14ac:dyDescent="0.2"/>
    <row r="999" ht="12.75" hidden="1" x14ac:dyDescent="0.2"/>
    <row r="1000" ht="12.75" hidden="1" x14ac:dyDescent="0.2"/>
  </sheetData>
  <autoFilter ref="A1:A1000">
    <filterColumn colId="0">
      <filters>
        <filter val="01-2026"/>
        <filter val="02-2025"/>
        <filter val="02-2026"/>
        <filter val="03-2025"/>
        <filter val="04-2025"/>
        <filter val="05-2025"/>
        <filter val="06-2025"/>
        <filter val="07-2025"/>
        <filter val="08-2025"/>
        <filter val="09-2025"/>
        <filter val="10-2025"/>
        <filter val="11-2025"/>
        <filter val="12-2025"/>
        <filter val="Grand Total"/>
      </filters>
    </filterColumn>
  </autoFilter>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P1000"/>
  <sheetViews>
    <sheetView showGridLines="0" workbookViewId="0"/>
  </sheetViews>
  <sheetFormatPr defaultColWidth="12.5703125" defaultRowHeight="15.75" customHeight="1" x14ac:dyDescent="0.2"/>
  <sheetData>
    <row r="1" spans="1:16" ht="12.75" x14ac:dyDescent="0.2">
      <c r="A1" s="9" t="s">
        <v>263</v>
      </c>
      <c r="B1" s="9" t="s">
        <v>2</v>
      </c>
      <c r="C1" s="27"/>
      <c r="D1" s="27"/>
      <c r="E1" s="27"/>
      <c r="F1" s="27"/>
      <c r="G1" s="27"/>
      <c r="H1" s="27"/>
      <c r="I1" s="27"/>
      <c r="J1" s="27"/>
      <c r="K1" s="27"/>
      <c r="L1" s="27"/>
      <c r="M1" s="27"/>
      <c r="N1" s="27"/>
      <c r="O1" s="27"/>
      <c r="P1" s="16"/>
    </row>
    <row r="2" spans="1:16" ht="12.75" x14ac:dyDescent="0.2">
      <c r="A2" s="9" t="s">
        <v>3</v>
      </c>
      <c r="B2" s="18" t="s">
        <v>250</v>
      </c>
      <c r="C2" s="28" t="s">
        <v>251</v>
      </c>
      <c r="D2" s="28" t="s">
        <v>252</v>
      </c>
      <c r="E2" s="28" t="s">
        <v>253</v>
      </c>
      <c r="F2" s="28" t="s">
        <v>254</v>
      </c>
      <c r="G2" s="28" t="s">
        <v>255</v>
      </c>
      <c r="H2" s="28" t="s">
        <v>256</v>
      </c>
      <c r="I2" s="28" t="s">
        <v>257</v>
      </c>
      <c r="J2" s="28" t="s">
        <v>258</v>
      </c>
      <c r="K2" s="28" t="s">
        <v>259</v>
      </c>
      <c r="L2" s="28" t="s">
        <v>260</v>
      </c>
      <c r="M2" s="28" t="s">
        <v>261</v>
      </c>
      <c r="N2" s="28" t="s">
        <v>262</v>
      </c>
      <c r="O2" s="28" t="s">
        <v>269</v>
      </c>
      <c r="P2" s="29" t="s">
        <v>247</v>
      </c>
    </row>
    <row r="3" spans="1:16" ht="12.75" hidden="1" x14ac:dyDescent="0.2">
      <c r="A3" s="10" t="s">
        <v>14</v>
      </c>
      <c r="B3" s="19">
        <v>3431.6800000000003</v>
      </c>
      <c r="C3" s="30">
        <v>383.65</v>
      </c>
      <c r="D3" s="30">
        <v>1953.3300000000002</v>
      </c>
      <c r="E3" s="30">
        <v>1168.3999999999999</v>
      </c>
      <c r="F3" s="30">
        <v>1987.34</v>
      </c>
      <c r="G3" s="30">
        <v>3111.1000000000004</v>
      </c>
      <c r="H3" s="30">
        <v>2934.1499999999996</v>
      </c>
      <c r="I3" s="30">
        <v>2015.88</v>
      </c>
      <c r="J3" s="30">
        <v>3838.54</v>
      </c>
      <c r="K3" s="30">
        <v>2840.1400000000003</v>
      </c>
      <c r="L3" s="30">
        <v>2778.28</v>
      </c>
      <c r="M3" s="30">
        <v>4300.8999999999996</v>
      </c>
      <c r="N3" s="30">
        <v>3030.4500000000007</v>
      </c>
      <c r="O3" s="30"/>
      <c r="P3" s="11">
        <v>33773.839999999997</v>
      </c>
    </row>
    <row r="4" spans="1:16" ht="12.75" x14ac:dyDescent="0.2">
      <c r="A4" s="12" t="s">
        <v>18</v>
      </c>
      <c r="B4" s="22">
        <v>2447.73</v>
      </c>
      <c r="C4" s="31">
        <v>509.18999999999994</v>
      </c>
      <c r="D4" s="31">
        <v>2079.96</v>
      </c>
      <c r="E4" s="31">
        <v>4303.47</v>
      </c>
      <c r="F4" s="31">
        <v>2149.46</v>
      </c>
      <c r="G4" s="31">
        <v>2497.9</v>
      </c>
      <c r="H4" s="31">
        <v>3179.13</v>
      </c>
      <c r="I4" s="31">
        <v>2279.4300000000003</v>
      </c>
      <c r="J4" s="31">
        <v>5068.0199999999995</v>
      </c>
      <c r="K4" s="31">
        <v>2478.16</v>
      </c>
      <c r="L4" s="31">
        <v>5646.2199999999993</v>
      </c>
      <c r="M4" s="31">
        <v>1799.69</v>
      </c>
      <c r="N4" s="31">
        <v>3273.57</v>
      </c>
      <c r="O4" s="31"/>
      <c r="P4" s="13">
        <v>37711.93</v>
      </c>
    </row>
    <row r="5" spans="1:16" ht="12.75" x14ac:dyDescent="0.2">
      <c r="A5" s="12" t="s">
        <v>28</v>
      </c>
      <c r="B5" s="22">
        <v>3748.18</v>
      </c>
      <c r="C5" s="31">
        <v>1327.08</v>
      </c>
      <c r="D5" s="31">
        <v>395.12</v>
      </c>
      <c r="E5" s="31">
        <v>3165.29</v>
      </c>
      <c r="F5" s="31">
        <v>3420.2599999999998</v>
      </c>
      <c r="G5" s="31">
        <v>2049.7000000000003</v>
      </c>
      <c r="H5" s="31">
        <v>3859.69</v>
      </c>
      <c r="I5" s="31">
        <v>3917.6499999999996</v>
      </c>
      <c r="J5" s="31">
        <v>4069.69</v>
      </c>
      <c r="K5" s="31">
        <v>3710.16</v>
      </c>
      <c r="L5" s="31">
        <v>4160.97</v>
      </c>
      <c r="M5" s="31">
        <v>3822.1100000000006</v>
      </c>
      <c r="N5" s="31">
        <v>2187.1000000000004</v>
      </c>
      <c r="O5" s="31"/>
      <c r="P5" s="13">
        <v>39833</v>
      </c>
    </row>
    <row r="6" spans="1:16" ht="12.75" x14ac:dyDescent="0.2">
      <c r="A6" s="12" t="s">
        <v>51</v>
      </c>
      <c r="B6" s="22">
        <v>3924.44</v>
      </c>
      <c r="C6" s="31">
        <v>692.48</v>
      </c>
      <c r="D6" s="31">
        <v>1849.62</v>
      </c>
      <c r="E6" s="31">
        <v>2067.31</v>
      </c>
      <c r="F6" s="31">
        <v>2316.8599999999997</v>
      </c>
      <c r="G6" s="31">
        <v>3089.92</v>
      </c>
      <c r="H6" s="31">
        <v>3040.11</v>
      </c>
      <c r="I6" s="31">
        <v>302.52</v>
      </c>
      <c r="J6" s="31">
        <v>2535.48</v>
      </c>
      <c r="K6" s="31">
        <v>2580.1</v>
      </c>
      <c r="L6" s="31">
        <v>2452.2400000000002</v>
      </c>
      <c r="M6" s="31">
        <v>2681.55</v>
      </c>
      <c r="N6" s="31">
        <v>2618.4599999999996</v>
      </c>
      <c r="O6" s="31"/>
      <c r="P6" s="13">
        <v>30151.089999999997</v>
      </c>
    </row>
    <row r="7" spans="1:16" ht="12.75" x14ac:dyDescent="0.2">
      <c r="A7" s="12" t="s">
        <v>35</v>
      </c>
      <c r="B7" s="22">
        <v>3625.47</v>
      </c>
      <c r="C7" s="31">
        <v>820.57999999999993</v>
      </c>
      <c r="D7" s="31">
        <v>2034.94</v>
      </c>
      <c r="E7" s="31">
        <v>2065.33</v>
      </c>
      <c r="F7" s="31">
        <v>2509.9299999999994</v>
      </c>
      <c r="G7" s="31">
        <v>3212.13</v>
      </c>
      <c r="H7" s="31">
        <v>2341.94</v>
      </c>
      <c r="I7" s="31">
        <v>1147.07</v>
      </c>
      <c r="J7" s="31">
        <v>4607.41</v>
      </c>
      <c r="K7" s="31">
        <v>2600.4000000000005</v>
      </c>
      <c r="L7" s="31">
        <v>3356.8</v>
      </c>
      <c r="M7" s="31">
        <v>3142.9900000000002</v>
      </c>
      <c r="N7" s="31">
        <v>3343.09</v>
      </c>
      <c r="O7" s="31"/>
      <c r="P7" s="13">
        <v>34808.080000000002</v>
      </c>
    </row>
    <row r="8" spans="1:16" ht="12.75" x14ac:dyDescent="0.2">
      <c r="A8" s="12" t="s">
        <v>269</v>
      </c>
      <c r="B8" s="22"/>
      <c r="C8" s="31"/>
      <c r="D8" s="31"/>
      <c r="E8" s="31"/>
      <c r="F8" s="31"/>
      <c r="G8" s="31"/>
      <c r="H8" s="31"/>
      <c r="I8" s="31"/>
      <c r="J8" s="31"/>
      <c r="K8" s="31"/>
      <c r="L8" s="31"/>
      <c r="M8" s="31"/>
      <c r="N8" s="31"/>
      <c r="O8" s="31"/>
      <c r="P8" s="13"/>
    </row>
    <row r="9" spans="1:16" ht="12.75" x14ac:dyDescent="0.2">
      <c r="A9" s="14" t="s">
        <v>247</v>
      </c>
      <c r="B9" s="25">
        <v>17177.5</v>
      </c>
      <c r="C9" s="32">
        <v>3732.98</v>
      </c>
      <c r="D9" s="32">
        <v>8312.9699999999993</v>
      </c>
      <c r="E9" s="32">
        <v>12769.8</v>
      </c>
      <c r="F9" s="32">
        <v>12383.849999999999</v>
      </c>
      <c r="G9" s="32">
        <v>13960.75</v>
      </c>
      <c r="H9" s="32">
        <v>15355.02</v>
      </c>
      <c r="I9" s="32">
        <v>9662.5499999999993</v>
      </c>
      <c r="J9" s="32">
        <v>20119.14</v>
      </c>
      <c r="K9" s="32">
        <v>14208.96</v>
      </c>
      <c r="L9" s="32">
        <v>18394.510000000002</v>
      </c>
      <c r="M9" s="32">
        <v>15747.24</v>
      </c>
      <c r="N9" s="32">
        <v>14452.67</v>
      </c>
      <c r="O9" s="32"/>
      <c r="P9" s="15">
        <v>176277.94</v>
      </c>
    </row>
    <row r="10" spans="1:16" ht="12.75" hidden="1" x14ac:dyDescent="0.2"/>
    <row r="11" spans="1:16" ht="12.75" hidden="1" x14ac:dyDescent="0.2"/>
    <row r="12" spans="1:16" ht="12.75" hidden="1" x14ac:dyDescent="0.2"/>
    <row r="13" spans="1:16" ht="12.75" hidden="1" x14ac:dyDescent="0.2"/>
    <row r="14" spans="1:16" ht="12.75" hidden="1" x14ac:dyDescent="0.2"/>
    <row r="15" spans="1:16" ht="12.75" hidden="1" x14ac:dyDescent="0.2"/>
    <row r="16" spans="1:16" ht="12.75" hidden="1" x14ac:dyDescent="0.2"/>
    <row r="17" ht="12.75" hidden="1" x14ac:dyDescent="0.2"/>
    <row r="18" ht="12.75" hidden="1" x14ac:dyDescent="0.2"/>
    <row r="19" ht="12.75" hidden="1" x14ac:dyDescent="0.2"/>
    <row r="20" ht="12.75" hidden="1" x14ac:dyDescent="0.2"/>
    <row r="21" ht="12.75" hidden="1" x14ac:dyDescent="0.2"/>
    <row r="22" ht="12.75" hidden="1" x14ac:dyDescent="0.2"/>
    <row r="23" ht="12.75" hidden="1" x14ac:dyDescent="0.2"/>
    <row r="24" ht="12.75" hidden="1" x14ac:dyDescent="0.2"/>
    <row r="25" ht="12.75" hidden="1" x14ac:dyDescent="0.2"/>
    <row r="26" ht="12.75" hidden="1" x14ac:dyDescent="0.2"/>
    <row r="27" ht="12.75" hidden="1" x14ac:dyDescent="0.2"/>
    <row r="28" ht="12.75" hidden="1" x14ac:dyDescent="0.2"/>
    <row r="29" ht="12.75" hidden="1" x14ac:dyDescent="0.2"/>
    <row r="30" ht="12.75" hidden="1" x14ac:dyDescent="0.2"/>
    <row r="31" ht="12.75" hidden="1" x14ac:dyDescent="0.2"/>
    <row r="32" ht="12.75" hidden="1" x14ac:dyDescent="0.2"/>
    <row r="33" ht="12.75" hidden="1" x14ac:dyDescent="0.2"/>
    <row r="34" ht="12.75" hidden="1" x14ac:dyDescent="0.2"/>
    <row r="35" ht="12.75" hidden="1" x14ac:dyDescent="0.2"/>
    <row r="36" ht="12.75" hidden="1" x14ac:dyDescent="0.2"/>
    <row r="37" ht="12.75" hidden="1" x14ac:dyDescent="0.2"/>
    <row r="38" ht="12.75" hidden="1" x14ac:dyDescent="0.2"/>
    <row r="39" ht="12.75" hidden="1" x14ac:dyDescent="0.2"/>
    <row r="40" ht="12.75" hidden="1" x14ac:dyDescent="0.2"/>
    <row r="41" ht="12.75" hidden="1" x14ac:dyDescent="0.2"/>
    <row r="42" ht="12.75" hidden="1" x14ac:dyDescent="0.2"/>
    <row r="43" ht="12.75" hidden="1" x14ac:dyDescent="0.2"/>
    <row r="44" ht="12.75" hidden="1" x14ac:dyDescent="0.2"/>
    <row r="45" ht="12.75" hidden="1" x14ac:dyDescent="0.2"/>
    <row r="46" ht="12.75" hidden="1" x14ac:dyDescent="0.2"/>
    <row r="47" ht="12.75" hidden="1" x14ac:dyDescent="0.2"/>
    <row r="48" ht="12.75" hidden="1" x14ac:dyDescent="0.2"/>
    <row r="49" ht="12.75" hidden="1" x14ac:dyDescent="0.2"/>
    <row r="50" ht="12.75" hidden="1" x14ac:dyDescent="0.2"/>
    <row r="51" ht="12.75" hidden="1" x14ac:dyDescent="0.2"/>
    <row r="52" ht="12.75" hidden="1" x14ac:dyDescent="0.2"/>
    <row r="53" ht="12.75" hidden="1" x14ac:dyDescent="0.2"/>
    <row r="54" ht="12.75" hidden="1" x14ac:dyDescent="0.2"/>
    <row r="55" ht="12.75" hidden="1" x14ac:dyDescent="0.2"/>
    <row r="56" ht="12.75" hidden="1" x14ac:dyDescent="0.2"/>
    <row r="57" ht="12.75" hidden="1" x14ac:dyDescent="0.2"/>
    <row r="58" ht="12.75" hidden="1" x14ac:dyDescent="0.2"/>
    <row r="59" ht="12.75" hidden="1" x14ac:dyDescent="0.2"/>
    <row r="60" ht="12.75" hidden="1" x14ac:dyDescent="0.2"/>
    <row r="61" ht="12.75" hidden="1" x14ac:dyDescent="0.2"/>
    <row r="62" ht="12.75" hidden="1" x14ac:dyDescent="0.2"/>
    <row r="63" ht="12.75" hidden="1" x14ac:dyDescent="0.2"/>
    <row r="64" ht="12.75" hidden="1" x14ac:dyDescent="0.2"/>
    <row r="65" ht="12.75" hidden="1" x14ac:dyDescent="0.2"/>
    <row r="66" ht="12.75" hidden="1" x14ac:dyDescent="0.2"/>
    <row r="67" ht="12.75" hidden="1" x14ac:dyDescent="0.2"/>
    <row r="68" ht="12.75" hidden="1" x14ac:dyDescent="0.2"/>
    <row r="69" ht="12.75" hidden="1" x14ac:dyDescent="0.2"/>
    <row r="70" ht="12.75" hidden="1" x14ac:dyDescent="0.2"/>
    <row r="71" ht="12.75" hidden="1" x14ac:dyDescent="0.2"/>
    <row r="72" ht="12.75" hidden="1" x14ac:dyDescent="0.2"/>
    <row r="73" ht="12.75" hidden="1" x14ac:dyDescent="0.2"/>
    <row r="74" ht="12.75" hidden="1" x14ac:dyDescent="0.2"/>
    <row r="75" ht="12.75" hidden="1" x14ac:dyDescent="0.2"/>
    <row r="76" ht="12.75" hidden="1" x14ac:dyDescent="0.2"/>
    <row r="77" ht="12.75" hidden="1" x14ac:dyDescent="0.2"/>
    <row r="78" ht="12.75" hidden="1" x14ac:dyDescent="0.2"/>
    <row r="79" ht="12.75" hidden="1" x14ac:dyDescent="0.2"/>
    <row r="80" ht="12.75" hidden="1" x14ac:dyDescent="0.2"/>
    <row r="81" ht="12.75" hidden="1" x14ac:dyDescent="0.2"/>
    <row r="82" ht="12.75" hidden="1" x14ac:dyDescent="0.2"/>
    <row r="83" ht="12.75" hidden="1" x14ac:dyDescent="0.2"/>
    <row r="84" ht="12.75" hidden="1" x14ac:dyDescent="0.2"/>
    <row r="85" ht="12.75" hidden="1" x14ac:dyDescent="0.2"/>
    <row r="86" ht="12.75" hidden="1" x14ac:dyDescent="0.2"/>
    <row r="87" ht="12.75" hidden="1" x14ac:dyDescent="0.2"/>
    <row r="88" ht="12.75" hidden="1" x14ac:dyDescent="0.2"/>
    <row r="89" ht="12.75" hidden="1" x14ac:dyDescent="0.2"/>
    <row r="90" ht="12.75" hidden="1" x14ac:dyDescent="0.2"/>
    <row r="91" ht="12.75" hidden="1" x14ac:dyDescent="0.2"/>
    <row r="92" ht="12.75" hidden="1" x14ac:dyDescent="0.2"/>
    <row r="93" ht="12.75" hidden="1" x14ac:dyDescent="0.2"/>
    <row r="94" ht="12.75" hidden="1" x14ac:dyDescent="0.2"/>
    <row r="95" ht="12.75" hidden="1" x14ac:dyDescent="0.2"/>
    <row r="96" ht="12.75" hidden="1" x14ac:dyDescent="0.2"/>
    <row r="97" ht="12.75" hidden="1" x14ac:dyDescent="0.2"/>
    <row r="98" ht="12.75" hidden="1" x14ac:dyDescent="0.2"/>
    <row r="99" ht="12.75" hidden="1" x14ac:dyDescent="0.2"/>
    <row r="100" ht="12.75" hidden="1" x14ac:dyDescent="0.2"/>
    <row r="101" ht="12.75" hidden="1" x14ac:dyDescent="0.2"/>
    <row r="102" ht="12.75" hidden="1" x14ac:dyDescent="0.2"/>
    <row r="103" ht="12.75" hidden="1" x14ac:dyDescent="0.2"/>
    <row r="104" ht="12.75" hidden="1" x14ac:dyDescent="0.2"/>
    <row r="105" ht="12.75" hidden="1" x14ac:dyDescent="0.2"/>
    <row r="106" ht="12.75" hidden="1" x14ac:dyDescent="0.2"/>
    <row r="107" ht="12.75" hidden="1" x14ac:dyDescent="0.2"/>
    <row r="108" ht="12.75" hidden="1" x14ac:dyDescent="0.2"/>
    <row r="109" ht="12.75" hidden="1" x14ac:dyDescent="0.2"/>
    <row r="110" ht="12.75" hidden="1" x14ac:dyDescent="0.2"/>
    <row r="111" ht="12.75" hidden="1" x14ac:dyDescent="0.2"/>
    <row r="112" ht="12.75" hidden="1" x14ac:dyDescent="0.2"/>
    <row r="113" ht="12.75" hidden="1" x14ac:dyDescent="0.2"/>
    <row r="114" ht="12.75" hidden="1" x14ac:dyDescent="0.2"/>
    <row r="115" ht="12.75" hidden="1" x14ac:dyDescent="0.2"/>
    <row r="116" ht="12.75" hidden="1" x14ac:dyDescent="0.2"/>
    <row r="117" ht="12.75" hidden="1" x14ac:dyDescent="0.2"/>
    <row r="118" ht="12.75" hidden="1" x14ac:dyDescent="0.2"/>
    <row r="119" ht="12.75" hidden="1" x14ac:dyDescent="0.2"/>
    <row r="120" ht="12.75" hidden="1" x14ac:dyDescent="0.2"/>
    <row r="121" ht="12.75" hidden="1" x14ac:dyDescent="0.2"/>
    <row r="122" ht="12.75" hidden="1" x14ac:dyDescent="0.2"/>
    <row r="123" ht="12.75" hidden="1" x14ac:dyDescent="0.2"/>
    <row r="124" ht="12.75" hidden="1" x14ac:dyDescent="0.2"/>
    <row r="125" ht="12.75" hidden="1" x14ac:dyDescent="0.2"/>
    <row r="126" ht="12.75" hidden="1" x14ac:dyDescent="0.2"/>
    <row r="127" ht="12.75" hidden="1" x14ac:dyDescent="0.2"/>
    <row r="128" ht="12.75" hidden="1" x14ac:dyDescent="0.2"/>
    <row r="129" ht="12.75" hidden="1" x14ac:dyDescent="0.2"/>
    <row r="130" ht="12.75" hidden="1" x14ac:dyDescent="0.2"/>
    <row r="131" ht="12.75" hidden="1" x14ac:dyDescent="0.2"/>
    <row r="132" ht="12.75" hidden="1" x14ac:dyDescent="0.2"/>
    <row r="133" ht="12.75" hidden="1" x14ac:dyDescent="0.2"/>
    <row r="134" ht="12.75" hidden="1" x14ac:dyDescent="0.2"/>
    <row r="135" ht="12.75" hidden="1" x14ac:dyDescent="0.2"/>
    <row r="136" ht="12.75" hidden="1" x14ac:dyDescent="0.2"/>
    <row r="137" ht="12.75" hidden="1" x14ac:dyDescent="0.2"/>
    <row r="138" ht="12.75" hidden="1" x14ac:dyDescent="0.2"/>
    <row r="139" ht="12.75" hidden="1" x14ac:dyDescent="0.2"/>
    <row r="140" ht="12.75" hidden="1" x14ac:dyDescent="0.2"/>
    <row r="141" ht="12.75" hidden="1" x14ac:dyDescent="0.2"/>
    <row r="142" ht="12.75" hidden="1" x14ac:dyDescent="0.2"/>
    <row r="143" ht="12.75" hidden="1" x14ac:dyDescent="0.2"/>
    <row r="144" ht="12.75" hidden="1" x14ac:dyDescent="0.2"/>
    <row r="145" ht="12.75" hidden="1" x14ac:dyDescent="0.2"/>
    <row r="146" ht="12.75" hidden="1" x14ac:dyDescent="0.2"/>
    <row r="147" ht="12.75" hidden="1" x14ac:dyDescent="0.2"/>
    <row r="148" ht="12.75" hidden="1" x14ac:dyDescent="0.2"/>
    <row r="149" ht="12.75" hidden="1" x14ac:dyDescent="0.2"/>
    <row r="150" ht="12.75" hidden="1" x14ac:dyDescent="0.2"/>
    <row r="151" ht="12.75" hidden="1" x14ac:dyDescent="0.2"/>
    <row r="152" ht="12.75" hidden="1" x14ac:dyDescent="0.2"/>
    <row r="153" ht="12.75" hidden="1" x14ac:dyDescent="0.2"/>
    <row r="154" ht="12.75" hidden="1" x14ac:dyDescent="0.2"/>
    <row r="155" ht="12.75" hidden="1" x14ac:dyDescent="0.2"/>
    <row r="156" ht="12.75" hidden="1" x14ac:dyDescent="0.2"/>
    <row r="157" ht="12.75" hidden="1" x14ac:dyDescent="0.2"/>
    <row r="158" ht="12.75" hidden="1" x14ac:dyDescent="0.2"/>
    <row r="159" ht="12.75" hidden="1" x14ac:dyDescent="0.2"/>
    <row r="160" ht="12.75" hidden="1" x14ac:dyDescent="0.2"/>
    <row r="161" ht="12.75" hidden="1" x14ac:dyDescent="0.2"/>
    <row r="162" ht="12.75" hidden="1" x14ac:dyDescent="0.2"/>
    <row r="163" ht="12.75" hidden="1" x14ac:dyDescent="0.2"/>
    <row r="164" ht="12.75" hidden="1" x14ac:dyDescent="0.2"/>
    <row r="165" ht="12.75" hidden="1" x14ac:dyDescent="0.2"/>
    <row r="166" ht="12.75" hidden="1" x14ac:dyDescent="0.2"/>
    <row r="167" ht="12.75" hidden="1" x14ac:dyDescent="0.2"/>
    <row r="168" ht="12.75" hidden="1" x14ac:dyDescent="0.2"/>
    <row r="169" ht="12.75" hidden="1" x14ac:dyDescent="0.2"/>
    <row r="170" ht="12.75" hidden="1" x14ac:dyDescent="0.2"/>
    <row r="171" ht="12.75" hidden="1" x14ac:dyDescent="0.2"/>
    <row r="172" ht="12.75" hidden="1" x14ac:dyDescent="0.2"/>
    <row r="173" ht="12.75" hidden="1" x14ac:dyDescent="0.2"/>
    <row r="174" ht="12.75" hidden="1" x14ac:dyDescent="0.2"/>
    <row r="175" ht="12.75" hidden="1" x14ac:dyDescent="0.2"/>
    <row r="176" ht="12.75" hidden="1" x14ac:dyDescent="0.2"/>
    <row r="177" ht="12.75" hidden="1" x14ac:dyDescent="0.2"/>
    <row r="178" ht="12.75" hidden="1" x14ac:dyDescent="0.2"/>
    <row r="179" ht="12.75" hidden="1" x14ac:dyDescent="0.2"/>
    <row r="180" ht="12.75" hidden="1" x14ac:dyDescent="0.2"/>
    <row r="181" ht="12.75" hidden="1" x14ac:dyDescent="0.2"/>
    <row r="182" ht="12.75" hidden="1" x14ac:dyDescent="0.2"/>
    <row r="183" ht="12.75" hidden="1" x14ac:dyDescent="0.2"/>
    <row r="184" ht="12.75" hidden="1" x14ac:dyDescent="0.2"/>
    <row r="185" ht="12.75" hidden="1" x14ac:dyDescent="0.2"/>
    <row r="186" ht="12.75" hidden="1" x14ac:dyDescent="0.2"/>
    <row r="187" ht="12.75" hidden="1" x14ac:dyDescent="0.2"/>
    <row r="188" ht="12.75" hidden="1" x14ac:dyDescent="0.2"/>
    <row r="189" ht="12.75" hidden="1" x14ac:dyDescent="0.2"/>
    <row r="190" ht="12.75" hidden="1" x14ac:dyDescent="0.2"/>
    <row r="191" ht="12.75" hidden="1" x14ac:dyDescent="0.2"/>
    <row r="192" ht="12.75" hidden="1" x14ac:dyDescent="0.2"/>
    <row r="193" ht="12.75" hidden="1" x14ac:dyDescent="0.2"/>
    <row r="194" ht="12.75" hidden="1" x14ac:dyDescent="0.2"/>
    <row r="195" ht="12.75" hidden="1" x14ac:dyDescent="0.2"/>
    <row r="196" ht="12.75" hidden="1" x14ac:dyDescent="0.2"/>
    <row r="197" ht="12.75" hidden="1" x14ac:dyDescent="0.2"/>
    <row r="198" ht="12.75" hidden="1" x14ac:dyDescent="0.2"/>
    <row r="199" ht="12.75" hidden="1" x14ac:dyDescent="0.2"/>
    <row r="200" ht="12.75" hidden="1" x14ac:dyDescent="0.2"/>
    <row r="201" ht="12.75" hidden="1" x14ac:dyDescent="0.2"/>
    <row r="202" ht="12.75" hidden="1" x14ac:dyDescent="0.2"/>
    <row r="203" ht="12.75" hidden="1" x14ac:dyDescent="0.2"/>
    <row r="204" ht="12.75" hidden="1" x14ac:dyDescent="0.2"/>
    <row r="205" ht="12.75" hidden="1" x14ac:dyDescent="0.2"/>
    <row r="206" ht="12.75" hidden="1" x14ac:dyDescent="0.2"/>
    <row r="207" ht="12.75" hidden="1" x14ac:dyDescent="0.2"/>
    <row r="208" ht="12.75" hidden="1" x14ac:dyDescent="0.2"/>
    <row r="209" ht="12.75" hidden="1" x14ac:dyDescent="0.2"/>
    <row r="210" ht="12.75" hidden="1" x14ac:dyDescent="0.2"/>
    <row r="211" ht="12.75" hidden="1" x14ac:dyDescent="0.2"/>
    <row r="212" ht="12.75" hidden="1" x14ac:dyDescent="0.2"/>
    <row r="213" ht="12.75" hidden="1" x14ac:dyDescent="0.2"/>
    <row r="214" ht="12.75" hidden="1" x14ac:dyDescent="0.2"/>
    <row r="215" ht="12.75" hidden="1" x14ac:dyDescent="0.2"/>
    <row r="216" ht="12.75" hidden="1" x14ac:dyDescent="0.2"/>
    <row r="217" ht="12.75" hidden="1" x14ac:dyDescent="0.2"/>
    <row r="218" ht="12.75" hidden="1" x14ac:dyDescent="0.2"/>
    <row r="219" ht="12.75" hidden="1" x14ac:dyDescent="0.2"/>
    <row r="220" ht="12.75" hidden="1" x14ac:dyDescent="0.2"/>
    <row r="221" ht="12.75" hidden="1" x14ac:dyDescent="0.2"/>
    <row r="222" ht="12.75" hidden="1" x14ac:dyDescent="0.2"/>
    <row r="223" ht="12.75" hidden="1" x14ac:dyDescent="0.2"/>
    <row r="224" ht="12.75" hidden="1" x14ac:dyDescent="0.2"/>
    <row r="225" ht="12.75" hidden="1" x14ac:dyDescent="0.2"/>
    <row r="226" ht="12.75" hidden="1" x14ac:dyDescent="0.2"/>
    <row r="227" ht="12.75" hidden="1" x14ac:dyDescent="0.2"/>
    <row r="228" ht="12.75" hidden="1" x14ac:dyDescent="0.2"/>
    <row r="229" ht="12.75" hidden="1" x14ac:dyDescent="0.2"/>
    <row r="230" ht="12.75" hidden="1" x14ac:dyDescent="0.2"/>
    <row r="231" ht="12.75" hidden="1" x14ac:dyDescent="0.2"/>
    <row r="232" ht="12.75" hidden="1" x14ac:dyDescent="0.2"/>
    <row r="233" ht="12.75" hidden="1" x14ac:dyDescent="0.2"/>
    <row r="234" ht="12.75" hidden="1" x14ac:dyDescent="0.2"/>
    <row r="235" ht="12.75" hidden="1" x14ac:dyDescent="0.2"/>
    <row r="236" ht="12.75" hidden="1" x14ac:dyDescent="0.2"/>
    <row r="237" ht="12.75" hidden="1" x14ac:dyDescent="0.2"/>
    <row r="238" ht="12.75" hidden="1" x14ac:dyDescent="0.2"/>
    <row r="239" ht="12.75" hidden="1" x14ac:dyDescent="0.2"/>
    <row r="240" ht="12.75" hidden="1" x14ac:dyDescent="0.2"/>
    <row r="241" ht="12.75" hidden="1" x14ac:dyDescent="0.2"/>
    <row r="242" ht="12.75" hidden="1" x14ac:dyDescent="0.2"/>
    <row r="243" ht="12.75" hidden="1" x14ac:dyDescent="0.2"/>
    <row r="244" ht="12.75" hidden="1" x14ac:dyDescent="0.2"/>
    <row r="245" ht="12.75" hidden="1" x14ac:dyDescent="0.2"/>
    <row r="246" ht="12.75" hidden="1" x14ac:dyDescent="0.2"/>
    <row r="247" ht="12.75" hidden="1" x14ac:dyDescent="0.2"/>
    <row r="248" ht="12.75" hidden="1" x14ac:dyDescent="0.2"/>
    <row r="249" ht="12.75" hidden="1" x14ac:dyDescent="0.2"/>
    <row r="250" ht="12.75" hidden="1" x14ac:dyDescent="0.2"/>
    <row r="251" ht="12.75" hidden="1" x14ac:dyDescent="0.2"/>
    <row r="252" ht="12.75" hidden="1" x14ac:dyDescent="0.2"/>
    <row r="253" ht="12.75" hidden="1" x14ac:dyDescent="0.2"/>
    <row r="254" ht="12.75" hidden="1" x14ac:dyDescent="0.2"/>
    <row r="255" ht="12.75" hidden="1" x14ac:dyDescent="0.2"/>
    <row r="256" ht="12.75" hidden="1" x14ac:dyDescent="0.2"/>
    <row r="257" ht="12.75" hidden="1" x14ac:dyDescent="0.2"/>
    <row r="258" ht="12.75" hidden="1" x14ac:dyDescent="0.2"/>
    <row r="259" ht="12.75" hidden="1" x14ac:dyDescent="0.2"/>
    <row r="260" ht="12.75" hidden="1" x14ac:dyDescent="0.2"/>
    <row r="261" ht="12.75" hidden="1" x14ac:dyDescent="0.2"/>
    <row r="262" ht="12.75" hidden="1" x14ac:dyDescent="0.2"/>
    <row r="263" ht="12.75" hidden="1" x14ac:dyDescent="0.2"/>
    <row r="264" ht="12.75" hidden="1" x14ac:dyDescent="0.2"/>
    <row r="265" ht="12.75" hidden="1" x14ac:dyDescent="0.2"/>
    <row r="266" ht="12.75" hidden="1" x14ac:dyDescent="0.2"/>
    <row r="267" ht="12.75" hidden="1" x14ac:dyDescent="0.2"/>
    <row r="268" ht="12.75" hidden="1" x14ac:dyDescent="0.2"/>
    <row r="269" ht="12.75" hidden="1" x14ac:dyDescent="0.2"/>
    <row r="270" ht="12.75" hidden="1" x14ac:dyDescent="0.2"/>
    <row r="271" ht="12.75" hidden="1" x14ac:dyDescent="0.2"/>
    <row r="272" ht="12.75" hidden="1" x14ac:dyDescent="0.2"/>
    <row r="273" ht="12.75" hidden="1" x14ac:dyDescent="0.2"/>
    <row r="274" ht="12.75" hidden="1" x14ac:dyDescent="0.2"/>
    <row r="275" ht="12.75" hidden="1" x14ac:dyDescent="0.2"/>
    <row r="276" ht="12.75" hidden="1" x14ac:dyDescent="0.2"/>
    <row r="277" ht="12.75" hidden="1" x14ac:dyDescent="0.2"/>
    <row r="278" ht="12.75" hidden="1" x14ac:dyDescent="0.2"/>
    <row r="279" ht="12.75" hidden="1" x14ac:dyDescent="0.2"/>
    <row r="280" ht="12.75" hidden="1" x14ac:dyDescent="0.2"/>
    <row r="281" ht="12.75" hidden="1" x14ac:dyDescent="0.2"/>
    <row r="282" ht="12.75" hidden="1" x14ac:dyDescent="0.2"/>
    <row r="283" ht="12.75" hidden="1" x14ac:dyDescent="0.2"/>
    <row r="284" ht="12.75" hidden="1" x14ac:dyDescent="0.2"/>
    <row r="285" ht="12.75" hidden="1" x14ac:dyDescent="0.2"/>
    <row r="286" ht="12.75" hidden="1" x14ac:dyDescent="0.2"/>
    <row r="287" ht="12.75" hidden="1" x14ac:dyDescent="0.2"/>
    <row r="288" ht="12.75" hidden="1" x14ac:dyDescent="0.2"/>
    <row r="289" ht="12.75" hidden="1" x14ac:dyDescent="0.2"/>
    <row r="290" ht="12.75" hidden="1" x14ac:dyDescent="0.2"/>
    <row r="291" ht="12.75" hidden="1" x14ac:dyDescent="0.2"/>
    <row r="292" ht="12.75" hidden="1" x14ac:dyDescent="0.2"/>
    <row r="293" ht="12.75" hidden="1" x14ac:dyDescent="0.2"/>
    <row r="294" ht="12.75" hidden="1" x14ac:dyDescent="0.2"/>
    <row r="295" ht="12.75" hidden="1" x14ac:dyDescent="0.2"/>
    <row r="296" ht="12.75" hidden="1" x14ac:dyDescent="0.2"/>
    <row r="297" ht="12.75" hidden="1" x14ac:dyDescent="0.2"/>
    <row r="298" ht="12.75" hidden="1" x14ac:dyDescent="0.2"/>
    <row r="299" ht="12.75" hidden="1" x14ac:dyDescent="0.2"/>
    <row r="300" ht="12.75" hidden="1" x14ac:dyDescent="0.2"/>
    <row r="301" ht="12.75" hidden="1" x14ac:dyDescent="0.2"/>
    <row r="302" ht="12.75" hidden="1" x14ac:dyDescent="0.2"/>
    <row r="303" ht="12.75" hidden="1" x14ac:dyDescent="0.2"/>
    <row r="304" ht="12.75" hidden="1" x14ac:dyDescent="0.2"/>
    <row r="305" ht="12.75" hidden="1" x14ac:dyDescent="0.2"/>
    <row r="306" ht="12.75" hidden="1" x14ac:dyDescent="0.2"/>
    <row r="307" ht="12.75" hidden="1" x14ac:dyDescent="0.2"/>
    <row r="308" ht="12.75" hidden="1" x14ac:dyDescent="0.2"/>
    <row r="309" ht="12.75" hidden="1" x14ac:dyDescent="0.2"/>
    <row r="310" ht="12.75" hidden="1" x14ac:dyDescent="0.2"/>
    <row r="311" ht="12.75" hidden="1" x14ac:dyDescent="0.2"/>
    <row r="312" ht="12.75" hidden="1" x14ac:dyDescent="0.2"/>
    <row r="313" ht="12.75" hidden="1" x14ac:dyDescent="0.2"/>
    <row r="314" ht="12.75" hidden="1" x14ac:dyDescent="0.2"/>
    <row r="315" ht="12.75" hidden="1" x14ac:dyDescent="0.2"/>
    <row r="316" ht="12.75" hidden="1" x14ac:dyDescent="0.2"/>
    <row r="317" ht="12.75" hidden="1" x14ac:dyDescent="0.2"/>
    <row r="318" ht="12.75" hidden="1" x14ac:dyDescent="0.2"/>
    <row r="319" ht="12.75" hidden="1" x14ac:dyDescent="0.2"/>
    <row r="320" ht="12.75" hidden="1" x14ac:dyDescent="0.2"/>
    <row r="321" ht="12.75" hidden="1" x14ac:dyDescent="0.2"/>
    <row r="322" ht="12.75" hidden="1" x14ac:dyDescent="0.2"/>
    <row r="323" ht="12.75" hidden="1" x14ac:dyDescent="0.2"/>
    <row r="324" ht="12.75" hidden="1" x14ac:dyDescent="0.2"/>
    <row r="325" ht="12.75" hidden="1" x14ac:dyDescent="0.2"/>
    <row r="326" ht="12.75" hidden="1" x14ac:dyDescent="0.2"/>
    <row r="327" ht="12.75" hidden="1" x14ac:dyDescent="0.2"/>
    <row r="328" ht="12.75" hidden="1" x14ac:dyDescent="0.2"/>
    <row r="329" ht="12.75" hidden="1" x14ac:dyDescent="0.2"/>
    <row r="330" ht="12.75" hidden="1" x14ac:dyDescent="0.2"/>
    <row r="331" ht="12.75" hidden="1" x14ac:dyDescent="0.2"/>
    <row r="332" ht="12.75" hidden="1" x14ac:dyDescent="0.2"/>
    <row r="333" ht="12.75" hidden="1" x14ac:dyDescent="0.2"/>
    <row r="334" ht="12.75" hidden="1" x14ac:dyDescent="0.2"/>
    <row r="335" ht="12.75" hidden="1" x14ac:dyDescent="0.2"/>
    <row r="336" ht="12.75" hidden="1" x14ac:dyDescent="0.2"/>
    <row r="337" ht="12.75" hidden="1" x14ac:dyDescent="0.2"/>
    <row r="338" ht="12.75" hidden="1" x14ac:dyDescent="0.2"/>
    <row r="339" ht="12.75" hidden="1" x14ac:dyDescent="0.2"/>
    <row r="340" ht="12.75" hidden="1" x14ac:dyDescent="0.2"/>
    <row r="341" ht="12.75" hidden="1" x14ac:dyDescent="0.2"/>
    <row r="342" ht="12.75" hidden="1" x14ac:dyDescent="0.2"/>
    <row r="343" ht="12.75" hidden="1" x14ac:dyDescent="0.2"/>
    <row r="344" ht="12.75" hidden="1" x14ac:dyDescent="0.2"/>
    <row r="345" ht="12.75" hidden="1" x14ac:dyDescent="0.2"/>
    <row r="346" ht="12.75" hidden="1" x14ac:dyDescent="0.2"/>
    <row r="347" ht="12.75" hidden="1" x14ac:dyDescent="0.2"/>
    <row r="348" ht="12.75" hidden="1" x14ac:dyDescent="0.2"/>
    <row r="349" ht="12.75" hidden="1" x14ac:dyDescent="0.2"/>
    <row r="350" ht="12.75" hidden="1" x14ac:dyDescent="0.2"/>
    <row r="351" ht="12.75" hidden="1" x14ac:dyDescent="0.2"/>
    <row r="352" ht="12.75" hidden="1" x14ac:dyDescent="0.2"/>
    <row r="353" ht="12.75" hidden="1" x14ac:dyDescent="0.2"/>
    <row r="354" ht="12.75" hidden="1" x14ac:dyDescent="0.2"/>
    <row r="355" ht="12.75" hidden="1" x14ac:dyDescent="0.2"/>
    <row r="356" ht="12.75" hidden="1" x14ac:dyDescent="0.2"/>
    <row r="357" ht="12.75" hidden="1" x14ac:dyDescent="0.2"/>
    <row r="358" ht="12.75" hidden="1" x14ac:dyDescent="0.2"/>
    <row r="359" ht="12.75" hidden="1" x14ac:dyDescent="0.2"/>
    <row r="360" ht="12.75" hidden="1" x14ac:dyDescent="0.2"/>
    <row r="361" ht="12.75" hidden="1" x14ac:dyDescent="0.2"/>
    <row r="362" ht="12.75" hidden="1" x14ac:dyDescent="0.2"/>
    <row r="363" ht="12.75" hidden="1" x14ac:dyDescent="0.2"/>
    <row r="364" ht="12.75" hidden="1" x14ac:dyDescent="0.2"/>
    <row r="365" ht="12.75" hidden="1" x14ac:dyDescent="0.2"/>
    <row r="366" ht="12.75" hidden="1" x14ac:dyDescent="0.2"/>
    <row r="367" ht="12.75" hidden="1" x14ac:dyDescent="0.2"/>
    <row r="368" ht="12.75" hidden="1" x14ac:dyDescent="0.2"/>
    <row r="369" ht="12.75" hidden="1" x14ac:dyDescent="0.2"/>
    <row r="370" ht="12.75" hidden="1" x14ac:dyDescent="0.2"/>
    <row r="371" ht="12.75" hidden="1" x14ac:dyDescent="0.2"/>
    <row r="372" ht="12.75" hidden="1" x14ac:dyDescent="0.2"/>
    <row r="373" ht="12.75" hidden="1" x14ac:dyDescent="0.2"/>
    <row r="374" ht="12.75" hidden="1" x14ac:dyDescent="0.2"/>
    <row r="375" ht="12.75" hidden="1" x14ac:dyDescent="0.2"/>
    <row r="376" ht="12.75" hidden="1" x14ac:dyDescent="0.2"/>
    <row r="377" ht="12.75" hidden="1" x14ac:dyDescent="0.2"/>
    <row r="378" ht="12.75" hidden="1" x14ac:dyDescent="0.2"/>
    <row r="379" ht="12.75" hidden="1" x14ac:dyDescent="0.2"/>
    <row r="380" ht="12.75" hidden="1" x14ac:dyDescent="0.2"/>
    <row r="381" ht="12.75" hidden="1" x14ac:dyDescent="0.2"/>
    <row r="382" ht="12.75" hidden="1" x14ac:dyDescent="0.2"/>
    <row r="383" ht="12.75" hidden="1" x14ac:dyDescent="0.2"/>
    <row r="384" ht="12.75" hidden="1" x14ac:dyDescent="0.2"/>
    <row r="385" ht="12.75" hidden="1" x14ac:dyDescent="0.2"/>
    <row r="386" ht="12.75" hidden="1" x14ac:dyDescent="0.2"/>
    <row r="387" ht="12.75" hidden="1" x14ac:dyDescent="0.2"/>
    <row r="388" ht="12.75" hidden="1" x14ac:dyDescent="0.2"/>
    <row r="389" ht="12.75" hidden="1" x14ac:dyDescent="0.2"/>
    <row r="390" ht="12.75" hidden="1" x14ac:dyDescent="0.2"/>
    <row r="391" ht="12.75" hidden="1" x14ac:dyDescent="0.2"/>
    <row r="392" ht="12.75" hidden="1" x14ac:dyDescent="0.2"/>
    <row r="393" ht="12.75" hidden="1" x14ac:dyDescent="0.2"/>
    <row r="394" ht="12.75" hidden="1" x14ac:dyDescent="0.2"/>
    <row r="395" ht="12.75" hidden="1" x14ac:dyDescent="0.2"/>
    <row r="396" ht="12.75" hidden="1" x14ac:dyDescent="0.2"/>
    <row r="397" ht="12.75" hidden="1" x14ac:dyDescent="0.2"/>
    <row r="398" ht="12.75" hidden="1" x14ac:dyDescent="0.2"/>
    <row r="399" ht="12.75" hidden="1" x14ac:dyDescent="0.2"/>
    <row r="400" ht="12.75" hidden="1" x14ac:dyDescent="0.2"/>
    <row r="401" ht="12.75" hidden="1" x14ac:dyDescent="0.2"/>
    <row r="402" ht="12.75" hidden="1" x14ac:dyDescent="0.2"/>
    <row r="403" ht="12.75" hidden="1" x14ac:dyDescent="0.2"/>
    <row r="404" ht="12.75" hidden="1" x14ac:dyDescent="0.2"/>
    <row r="405" ht="12.75" hidden="1" x14ac:dyDescent="0.2"/>
    <row r="406" ht="12.75" hidden="1" x14ac:dyDescent="0.2"/>
    <row r="407" ht="12.75" hidden="1" x14ac:dyDescent="0.2"/>
    <row r="408" ht="12.75" hidden="1" x14ac:dyDescent="0.2"/>
    <row r="409" ht="12.75" hidden="1" x14ac:dyDescent="0.2"/>
    <row r="410" ht="12.75" hidden="1" x14ac:dyDescent="0.2"/>
    <row r="411" ht="12.75" hidden="1" x14ac:dyDescent="0.2"/>
    <row r="412" ht="12.75" hidden="1" x14ac:dyDescent="0.2"/>
    <row r="413" ht="12.75" hidden="1" x14ac:dyDescent="0.2"/>
    <row r="414" ht="12.75" hidden="1" x14ac:dyDescent="0.2"/>
    <row r="415" ht="12.75" hidden="1" x14ac:dyDescent="0.2"/>
    <row r="416" ht="12.75" hidden="1" x14ac:dyDescent="0.2"/>
    <row r="417" ht="12.75" hidden="1" x14ac:dyDescent="0.2"/>
    <row r="418" ht="12.75" hidden="1" x14ac:dyDescent="0.2"/>
    <row r="419" ht="12.75" hidden="1" x14ac:dyDescent="0.2"/>
    <row r="420" ht="12.75" hidden="1" x14ac:dyDescent="0.2"/>
    <row r="421" ht="12.75" hidden="1" x14ac:dyDescent="0.2"/>
    <row r="422" ht="12.75" hidden="1" x14ac:dyDescent="0.2"/>
    <row r="423" ht="12.75" hidden="1" x14ac:dyDescent="0.2"/>
    <row r="424" ht="12.75" hidden="1" x14ac:dyDescent="0.2"/>
    <row r="425" ht="12.75" hidden="1" x14ac:dyDescent="0.2"/>
    <row r="426" ht="12.75" hidden="1" x14ac:dyDescent="0.2"/>
    <row r="427" ht="12.75" hidden="1" x14ac:dyDescent="0.2"/>
    <row r="428" ht="12.75" hidden="1" x14ac:dyDescent="0.2"/>
    <row r="429" ht="12.75" hidden="1" x14ac:dyDescent="0.2"/>
    <row r="430" ht="12.75" hidden="1" x14ac:dyDescent="0.2"/>
    <row r="431" ht="12.75" hidden="1" x14ac:dyDescent="0.2"/>
    <row r="432" ht="12.75" hidden="1" x14ac:dyDescent="0.2"/>
    <row r="433" ht="12.75" hidden="1" x14ac:dyDescent="0.2"/>
    <row r="434" ht="12.75" hidden="1" x14ac:dyDescent="0.2"/>
    <row r="435" ht="12.75" hidden="1" x14ac:dyDescent="0.2"/>
    <row r="436" ht="12.75" hidden="1" x14ac:dyDescent="0.2"/>
    <row r="437" ht="12.75" hidden="1" x14ac:dyDescent="0.2"/>
    <row r="438" ht="12.75" hidden="1" x14ac:dyDescent="0.2"/>
    <row r="439" ht="12.75" hidden="1" x14ac:dyDescent="0.2"/>
    <row r="440" ht="12.75" hidden="1" x14ac:dyDescent="0.2"/>
    <row r="441" ht="12.75" hidden="1" x14ac:dyDescent="0.2"/>
    <row r="442" ht="12.75" hidden="1" x14ac:dyDescent="0.2"/>
    <row r="443" ht="12.75" hidden="1" x14ac:dyDescent="0.2"/>
    <row r="444" ht="12.75" hidden="1" x14ac:dyDescent="0.2"/>
    <row r="445" ht="12.75" hidden="1" x14ac:dyDescent="0.2"/>
    <row r="446" ht="12.75" hidden="1" x14ac:dyDescent="0.2"/>
    <row r="447" ht="12.75" hidden="1" x14ac:dyDescent="0.2"/>
    <row r="448" ht="12.75" hidden="1" x14ac:dyDescent="0.2"/>
    <row r="449" ht="12.75" hidden="1" x14ac:dyDescent="0.2"/>
    <row r="450" ht="12.75" hidden="1" x14ac:dyDescent="0.2"/>
    <row r="451" ht="12.75" hidden="1" x14ac:dyDescent="0.2"/>
    <row r="452" ht="12.75" hidden="1" x14ac:dyDescent="0.2"/>
    <row r="453" ht="12.75" hidden="1" x14ac:dyDescent="0.2"/>
    <row r="454" ht="12.75" hidden="1" x14ac:dyDescent="0.2"/>
    <row r="455" ht="12.75" hidden="1" x14ac:dyDescent="0.2"/>
    <row r="456" ht="12.75" hidden="1" x14ac:dyDescent="0.2"/>
    <row r="457" ht="12.75" hidden="1" x14ac:dyDescent="0.2"/>
    <row r="458" ht="12.75" hidden="1" x14ac:dyDescent="0.2"/>
    <row r="459" ht="12.75" hidden="1" x14ac:dyDescent="0.2"/>
    <row r="460" ht="12.75" hidden="1" x14ac:dyDescent="0.2"/>
    <row r="461" ht="12.75" hidden="1" x14ac:dyDescent="0.2"/>
    <row r="462" ht="12.75" hidden="1" x14ac:dyDescent="0.2"/>
    <row r="463" ht="12.75" hidden="1" x14ac:dyDescent="0.2"/>
    <row r="464" ht="12.75" hidden="1" x14ac:dyDescent="0.2"/>
    <row r="465" ht="12.75" hidden="1" x14ac:dyDescent="0.2"/>
    <row r="466" ht="12.75" hidden="1" x14ac:dyDescent="0.2"/>
    <row r="467" ht="12.75" hidden="1" x14ac:dyDescent="0.2"/>
    <row r="468" ht="12.75" hidden="1" x14ac:dyDescent="0.2"/>
    <row r="469" ht="12.75" hidden="1" x14ac:dyDescent="0.2"/>
    <row r="470" ht="12.75" hidden="1" x14ac:dyDescent="0.2"/>
    <row r="471" ht="12.75" hidden="1" x14ac:dyDescent="0.2"/>
    <row r="472" ht="12.75" hidden="1" x14ac:dyDescent="0.2"/>
    <row r="473" ht="12.75" hidden="1" x14ac:dyDescent="0.2"/>
    <row r="474" ht="12.75" hidden="1" x14ac:dyDescent="0.2"/>
    <row r="475" ht="12.75" hidden="1" x14ac:dyDescent="0.2"/>
    <row r="476" ht="12.75" hidden="1" x14ac:dyDescent="0.2"/>
    <row r="477" ht="12.75" hidden="1" x14ac:dyDescent="0.2"/>
    <row r="478" ht="12.75" hidden="1" x14ac:dyDescent="0.2"/>
    <row r="479" ht="12.75" hidden="1" x14ac:dyDescent="0.2"/>
    <row r="480" ht="12.75" hidden="1" x14ac:dyDescent="0.2"/>
    <row r="481" ht="12.75" hidden="1" x14ac:dyDescent="0.2"/>
    <row r="482" ht="12.75" hidden="1" x14ac:dyDescent="0.2"/>
    <row r="483" ht="12.75" hidden="1" x14ac:dyDescent="0.2"/>
    <row r="484" ht="12.75" hidden="1" x14ac:dyDescent="0.2"/>
    <row r="485" ht="12.75" hidden="1" x14ac:dyDescent="0.2"/>
    <row r="486" ht="12.75" hidden="1" x14ac:dyDescent="0.2"/>
    <row r="487" ht="12.75" hidden="1" x14ac:dyDescent="0.2"/>
    <row r="488" ht="12.75" hidden="1" x14ac:dyDescent="0.2"/>
    <row r="489" ht="12.75" hidden="1" x14ac:dyDescent="0.2"/>
    <row r="490" ht="12.75" hidden="1" x14ac:dyDescent="0.2"/>
    <row r="491" ht="12.75" hidden="1" x14ac:dyDescent="0.2"/>
    <row r="492" ht="12.75" hidden="1" x14ac:dyDescent="0.2"/>
    <row r="493" ht="12.75" hidden="1" x14ac:dyDescent="0.2"/>
    <row r="494" ht="12.75" hidden="1" x14ac:dyDescent="0.2"/>
    <row r="495" ht="12.75" hidden="1" x14ac:dyDescent="0.2"/>
    <row r="496" ht="12.75" hidden="1" x14ac:dyDescent="0.2"/>
    <row r="497" ht="12.75" hidden="1" x14ac:dyDescent="0.2"/>
    <row r="498" ht="12.75" hidden="1" x14ac:dyDescent="0.2"/>
    <row r="499" ht="12.75" hidden="1" x14ac:dyDescent="0.2"/>
    <row r="500" ht="12.75" hidden="1" x14ac:dyDescent="0.2"/>
    <row r="501" ht="12.75" hidden="1" x14ac:dyDescent="0.2"/>
    <row r="502" ht="12.75" hidden="1" x14ac:dyDescent="0.2"/>
    <row r="503" ht="12.75" hidden="1" x14ac:dyDescent="0.2"/>
    <row r="504" ht="12.75" hidden="1" x14ac:dyDescent="0.2"/>
    <row r="505" ht="12.75" hidden="1" x14ac:dyDescent="0.2"/>
    <row r="506" ht="12.75" hidden="1" x14ac:dyDescent="0.2"/>
    <row r="507" ht="12.75" hidden="1" x14ac:dyDescent="0.2"/>
    <row r="508" ht="12.75" hidden="1" x14ac:dyDescent="0.2"/>
    <row r="509" ht="12.75" hidden="1" x14ac:dyDescent="0.2"/>
    <row r="510" ht="12.75" hidden="1" x14ac:dyDescent="0.2"/>
    <row r="511" ht="12.75" hidden="1" x14ac:dyDescent="0.2"/>
    <row r="512" ht="12.75" hidden="1" x14ac:dyDescent="0.2"/>
    <row r="513" ht="12.75" hidden="1" x14ac:dyDescent="0.2"/>
    <row r="514" ht="12.75" hidden="1" x14ac:dyDescent="0.2"/>
    <row r="515" ht="12.75" hidden="1" x14ac:dyDescent="0.2"/>
    <row r="516" ht="12.75" hidden="1" x14ac:dyDescent="0.2"/>
    <row r="517" ht="12.75" hidden="1" x14ac:dyDescent="0.2"/>
    <row r="518" ht="12.75" hidden="1" x14ac:dyDescent="0.2"/>
    <row r="519" ht="12.75" hidden="1" x14ac:dyDescent="0.2"/>
    <row r="520" ht="12.75" hidden="1" x14ac:dyDescent="0.2"/>
    <row r="521" ht="12.75" hidden="1" x14ac:dyDescent="0.2"/>
    <row r="522" ht="12.75" hidden="1" x14ac:dyDescent="0.2"/>
    <row r="523" ht="12.75" hidden="1" x14ac:dyDescent="0.2"/>
    <row r="524" ht="12.75" hidden="1" x14ac:dyDescent="0.2"/>
    <row r="525" ht="12.75" hidden="1" x14ac:dyDescent="0.2"/>
    <row r="526" ht="12.75" hidden="1" x14ac:dyDescent="0.2"/>
    <row r="527" ht="12.75" hidden="1" x14ac:dyDescent="0.2"/>
    <row r="528" ht="12.75" hidden="1" x14ac:dyDescent="0.2"/>
    <row r="529" ht="12.75" hidden="1" x14ac:dyDescent="0.2"/>
    <row r="530" ht="12.75" hidden="1" x14ac:dyDescent="0.2"/>
    <row r="531" ht="12.75" hidden="1" x14ac:dyDescent="0.2"/>
    <row r="532" ht="12.75" hidden="1" x14ac:dyDescent="0.2"/>
    <row r="533" ht="12.75" hidden="1" x14ac:dyDescent="0.2"/>
    <row r="534" ht="12.75" hidden="1" x14ac:dyDescent="0.2"/>
    <row r="535" ht="12.75" hidden="1" x14ac:dyDescent="0.2"/>
    <row r="536" ht="12.75" hidden="1" x14ac:dyDescent="0.2"/>
    <row r="537" ht="12.75" hidden="1" x14ac:dyDescent="0.2"/>
    <row r="538" ht="12.75" hidden="1" x14ac:dyDescent="0.2"/>
    <row r="539" ht="12.75" hidden="1" x14ac:dyDescent="0.2"/>
    <row r="540" ht="12.75" hidden="1" x14ac:dyDescent="0.2"/>
    <row r="541" ht="12.75" hidden="1" x14ac:dyDescent="0.2"/>
    <row r="542" ht="12.75" hidden="1" x14ac:dyDescent="0.2"/>
    <row r="543" ht="12.75" hidden="1" x14ac:dyDescent="0.2"/>
    <row r="544" ht="12.75" hidden="1" x14ac:dyDescent="0.2"/>
    <row r="545" ht="12.75" hidden="1" x14ac:dyDescent="0.2"/>
    <row r="546" ht="12.75" hidden="1" x14ac:dyDescent="0.2"/>
    <row r="547" ht="12.75" hidden="1" x14ac:dyDescent="0.2"/>
    <row r="548" ht="12.75" hidden="1" x14ac:dyDescent="0.2"/>
    <row r="549" ht="12.75" hidden="1" x14ac:dyDescent="0.2"/>
    <row r="550" ht="12.75" hidden="1" x14ac:dyDescent="0.2"/>
    <row r="551" ht="12.75" hidden="1" x14ac:dyDescent="0.2"/>
    <row r="552" ht="12.75" hidden="1" x14ac:dyDescent="0.2"/>
    <row r="553" ht="12.75" hidden="1" x14ac:dyDescent="0.2"/>
    <row r="554" ht="12.75" hidden="1" x14ac:dyDescent="0.2"/>
    <row r="555" ht="12.75" hidden="1" x14ac:dyDescent="0.2"/>
    <row r="556" ht="12.75" hidden="1" x14ac:dyDescent="0.2"/>
    <row r="557" ht="12.75" hidden="1" x14ac:dyDescent="0.2"/>
    <row r="558" ht="12.75" hidden="1" x14ac:dyDescent="0.2"/>
    <row r="559" ht="12.75" hidden="1" x14ac:dyDescent="0.2"/>
    <row r="560" ht="12.75" hidden="1" x14ac:dyDescent="0.2"/>
    <row r="561" ht="12.75" hidden="1" x14ac:dyDescent="0.2"/>
    <row r="562" ht="12.75" hidden="1" x14ac:dyDescent="0.2"/>
    <row r="563" ht="12.75" hidden="1" x14ac:dyDescent="0.2"/>
    <row r="564" ht="12.75" hidden="1" x14ac:dyDescent="0.2"/>
    <row r="565" ht="12.75" hidden="1" x14ac:dyDescent="0.2"/>
    <row r="566" ht="12.75" hidden="1" x14ac:dyDescent="0.2"/>
    <row r="567" ht="12.75" hidden="1" x14ac:dyDescent="0.2"/>
    <row r="568" ht="12.75" hidden="1" x14ac:dyDescent="0.2"/>
    <row r="569" ht="12.75" hidden="1" x14ac:dyDescent="0.2"/>
    <row r="570" ht="12.75" hidden="1" x14ac:dyDescent="0.2"/>
    <row r="571" ht="12.75" hidden="1" x14ac:dyDescent="0.2"/>
    <row r="572" ht="12.75" hidden="1" x14ac:dyDescent="0.2"/>
    <row r="573" ht="12.75" hidden="1" x14ac:dyDescent="0.2"/>
    <row r="574" ht="12.75" hidden="1" x14ac:dyDescent="0.2"/>
    <row r="575" ht="12.75" hidden="1" x14ac:dyDescent="0.2"/>
    <row r="576" ht="12.75" hidden="1" x14ac:dyDescent="0.2"/>
    <row r="577" ht="12.75" hidden="1" x14ac:dyDescent="0.2"/>
    <row r="578" ht="12.75" hidden="1" x14ac:dyDescent="0.2"/>
    <row r="579" ht="12.75" hidden="1" x14ac:dyDescent="0.2"/>
    <row r="580" ht="12.75" hidden="1" x14ac:dyDescent="0.2"/>
    <row r="581" ht="12.75" hidden="1" x14ac:dyDescent="0.2"/>
    <row r="582" ht="12.75" hidden="1" x14ac:dyDescent="0.2"/>
    <row r="583" ht="12.75" hidden="1" x14ac:dyDescent="0.2"/>
    <row r="584" ht="12.75" hidden="1" x14ac:dyDescent="0.2"/>
    <row r="585" ht="12.75" hidden="1" x14ac:dyDescent="0.2"/>
    <row r="586" ht="12.75" hidden="1" x14ac:dyDescent="0.2"/>
    <row r="587" ht="12.75" hidden="1" x14ac:dyDescent="0.2"/>
    <row r="588" ht="12.75" hidden="1" x14ac:dyDescent="0.2"/>
    <row r="589" ht="12.75" hidden="1" x14ac:dyDescent="0.2"/>
    <row r="590" ht="12.75" hidden="1" x14ac:dyDescent="0.2"/>
    <row r="591" ht="12.75" hidden="1" x14ac:dyDescent="0.2"/>
    <row r="592" ht="12.75" hidden="1" x14ac:dyDescent="0.2"/>
    <row r="593" ht="12.75" hidden="1" x14ac:dyDescent="0.2"/>
    <row r="594" ht="12.75" hidden="1" x14ac:dyDescent="0.2"/>
    <row r="595" ht="12.75" hidden="1" x14ac:dyDescent="0.2"/>
    <row r="596" ht="12.75" hidden="1" x14ac:dyDescent="0.2"/>
    <row r="597" ht="12.75" hidden="1" x14ac:dyDescent="0.2"/>
    <row r="598" ht="12.75" hidden="1" x14ac:dyDescent="0.2"/>
    <row r="599" ht="12.75" hidden="1" x14ac:dyDescent="0.2"/>
    <row r="600" ht="12.75" hidden="1" x14ac:dyDescent="0.2"/>
    <row r="601" ht="12.75" hidden="1" x14ac:dyDescent="0.2"/>
    <row r="602" ht="12.75" hidden="1" x14ac:dyDescent="0.2"/>
    <row r="603" ht="12.75" hidden="1" x14ac:dyDescent="0.2"/>
    <row r="604" ht="12.75" hidden="1" x14ac:dyDescent="0.2"/>
    <row r="605" ht="12.75" hidden="1" x14ac:dyDescent="0.2"/>
    <row r="606" ht="12.75" hidden="1" x14ac:dyDescent="0.2"/>
    <row r="607" ht="12.75" hidden="1" x14ac:dyDescent="0.2"/>
    <row r="608" ht="12.75" hidden="1" x14ac:dyDescent="0.2"/>
    <row r="609" ht="12.75" hidden="1" x14ac:dyDescent="0.2"/>
    <row r="610" ht="12.75" hidden="1" x14ac:dyDescent="0.2"/>
    <row r="611" ht="12.75" hidden="1" x14ac:dyDescent="0.2"/>
    <row r="612" ht="12.75" hidden="1" x14ac:dyDescent="0.2"/>
    <row r="613" ht="12.75" hidden="1" x14ac:dyDescent="0.2"/>
    <row r="614" ht="12.75" hidden="1" x14ac:dyDescent="0.2"/>
    <row r="615" ht="12.75" hidden="1" x14ac:dyDescent="0.2"/>
    <row r="616" ht="12.75" hidden="1" x14ac:dyDescent="0.2"/>
    <row r="617" ht="12.75" hidden="1" x14ac:dyDescent="0.2"/>
    <row r="618" ht="12.75" hidden="1" x14ac:dyDescent="0.2"/>
    <row r="619" ht="12.75" hidden="1" x14ac:dyDescent="0.2"/>
    <row r="620" ht="12.75" hidden="1" x14ac:dyDescent="0.2"/>
    <row r="621" ht="12.75" hidden="1" x14ac:dyDescent="0.2"/>
    <row r="622" ht="12.75" hidden="1" x14ac:dyDescent="0.2"/>
    <row r="623" ht="12.75" hidden="1" x14ac:dyDescent="0.2"/>
    <row r="624" ht="12.75" hidden="1" x14ac:dyDescent="0.2"/>
    <row r="625" ht="12.75" hidden="1" x14ac:dyDescent="0.2"/>
    <row r="626" ht="12.75" hidden="1" x14ac:dyDescent="0.2"/>
    <row r="627" ht="12.75" hidden="1" x14ac:dyDescent="0.2"/>
    <row r="628" ht="12.75" hidden="1" x14ac:dyDescent="0.2"/>
    <row r="629" ht="12.75" hidden="1" x14ac:dyDescent="0.2"/>
    <row r="630" ht="12.75" hidden="1" x14ac:dyDescent="0.2"/>
    <row r="631" ht="12.75" hidden="1" x14ac:dyDescent="0.2"/>
    <row r="632" ht="12.75" hidden="1" x14ac:dyDescent="0.2"/>
    <row r="633" ht="12.75" hidden="1" x14ac:dyDescent="0.2"/>
    <row r="634" ht="12.75" hidden="1" x14ac:dyDescent="0.2"/>
    <row r="635" ht="12.75" hidden="1" x14ac:dyDescent="0.2"/>
    <row r="636" ht="12.75" hidden="1" x14ac:dyDescent="0.2"/>
    <row r="637" ht="12.75" hidden="1" x14ac:dyDescent="0.2"/>
    <row r="638" ht="12.75" hidden="1" x14ac:dyDescent="0.2"/>
    <row r="639" ht="12.75" hidden="1" x14ac:dyDescent="0.2"/>
    <row r="640" ht="12.75" hidden="1" x14ac:dyDescent="0.2"/>
    <row r="641" ht="12.75" hidden="1" x14ac:dyDescent="0.2"/>
    <row r="642" ht="12.75" hidden="1" x14ac:dyDescent="0.2"/>
    <row r="643" ht="12.75" hidden="1" x14ac:dyDescent="0.2"/>
    <row r="644" ht="12.75" hidden="1" x14ac:dyDescent="0.2"/>
    <row r="645" ht="12.75" hidden="1" x14ac:dyDescent="0.2"/>
    <row r="646" ht="12.75" hidden="1" x14ac:dyDescent="0.2"/>
    <row r="647" ht="12.75" hidden="1" x14ac:dyDescent="0.2"/>
    <row r="648" ht="12.75" hidden="1" x14ac:dyDescent="0.2"/>
    <row r="649" ht="12.75" hidden="1" x14ac:dyDescent="0.2"/>
    <row r="650" ht="12.75" hidden="1" x14ac:dyDescent="0.2"/>
    <row r="651" ht="12.75" hidden="1" x14ac:dyDescent="0.2"/>
    <row r="652" ht="12.75" hidden="1" x14ac:dyDescent="0.2"/>
    <row r="653" ht="12.75" hidden="1" x14ac:dyDescent="0.2"/>
    <row r="654" ht="12.75" hidden="1" x14ac:dyDescent="0.2"/>
    <row r="655" ht="12.75" hidden="1" x14ac:dyDescent="0.2"/>
    <row r="656" ht="12.75" hidden="1" x14ac:dyDescent="0.2"/>
    <row r="657" ht="12.75" hidden="1" x14ac:dyDescent="0.2"/>
    <row r="658" ht="12.75" hidden="1" x14ac:dyDescent="0.2"/>
    <row r="659" ht="12.75" hidden="1" x14ac:dyDescent="0.2"/>
    <row r="660" ht="12.75" hidden="1" x14ac:dyDescent="0.2"/>
    <row r="661" ht="12.75" hidden="1" x14ac:dyDescent="0.2"/>
    <row r="662" ht="12.75" hidden="1" x14ac:dyDescent="0.2"/>
    <row r="663" ht="12.75" hidden="1" x14ac:dyDescent="0.2"/>
    <row r="664" ht="12.75" hidden="1" x14ac:dyDescent="0.2"/>
    <row r="665" ht="12.75" hidden="1" x14ac:dyDescent="0.2"/>
    <row r="666" ht="12.75" hidden="1" x14ac:dyDescent="0.2"/>
    <row r="667" ht="12.75" hidden="1" x14ac:dyDescent="0.2"/>
    <row r="668" ht="12.75" hidden="1" x14ac:dyDescent="0.2"/>
    <row r="669" ht="12.75" hidden="1" x14ac:dyDescent="0.2"/>
    <row r="670" ht="12.75" hidden="1" x14ac:dyDescent="0.2"/>
    <row r="671" ht="12.75" hidden="1" x14ac:dyDescent="0.2"/>
    <row r="672" ht="12.75" hidden="1" x14ac:dyDescent="0.2"/>
    <row r="673" ht="12.75" hidden="1" x14ac:dyDescent="0.2"/>
    <row r="674" ht="12.75" hidden="1" x14ac:dyDescent="0.2"/>
    <row r="675" ht="12.75" hidden="1" x14ac:dyDescent="0.2"/>
    <row r="676" ht="12.75" hidden="1" x14ac:dyDescent="0.2"/>
    <row r="677" ht="12.75" hidden="1" x14ac:dyDescent="0.2"/>
    <row r="678" ht="12.75" hidden="1" x14ac:dyDescent="0.2"/>
    <row r="679" ht="12.75" hidden="1" x14ac:dyDescent="0.2"/>
    <row r="680" ht="12.75" hidden="1" x14ac:dyDescent="0.2"/>
    <row r="681" ht="12.75" hidden="1" x14ac:dyDescent="0.2"/>
    <row r="682" ht="12.75" hidden="1" x14ac:dyDescent="0.2"/>
    <row r="683" ht="12.75" hidden="1" x14ac:dyDescent="0.2"/>
    <row r="684" ht="12.75" hidden="1" x14ac:dyDescent="0.2"/>
    <row r="685" ht="12.75" hidden="1" x14ac:dyDescent="0.2"/>
    <row r="686" ht="12.75" hidden="1" x14ac:dyDescent="0.2"/>
    <row r="687" ht="12.75" hidden="1" x14ac:dyDescent="0.2"/>
    <row r="688" ht="12.75" hidden="1" x14ac:dyDescent="0.2"/>
    <row r="689" ht="12.75" hidden="1" x14ac:dyDescent="0.2"/>
    <row r="690" ht="12.75" hidden="1" x14ac:dyDescent="0.2"/>
    <row r="691" ht="12.75" hidden="1" x14ac:dyDescent="0.2"/>
    <row r="692" ht="12.75" hidden="1" x14ac:dyDescent="0.2"/>
    <row r="693" ht="12.75" hidden="1" x14ac:dyDescent="0.2"/>
    <row r="694" ht="12.75" hidden="1" x14ac:dyDescent="0.2"/>
    <row r="695" ht="12.75" hidden="1" x14ac:dyDescent="0.2"/>
    <row r="696" ht="12.75" hidden="1" x14ac:dyDescent="0.2"/>
    <row r="697" ht="12.75" hidden="1" x14ac:dyDescent="0.2"/>
    <row r="698" ht="12.75" hidden="1" x14ac:dyDescent="0.2"/>
    <row r="699" ht="12.75" hidden="1" x14ac:dyDescent="0.2"/>
    <row r="700" ht="12.75" hidden="1" x14ac:dyDescent="0.2"/>
    <row r="701" ht="12.75" hidden="1" x14ac:dyDescent="0.2"/>
    <row r="702" ht="12.75" hidden="1" x14ac:dyDescent="0.2"/>
    <row r="703" ht="12.75" hidden="1" x14ac:dyDescent="0.2"/>
    <row r="704" ht="12.75" hidden="1" x14ac:dyDescent="0.2"/>
    <row r="705" ht="12.75" hidden="1" x14ac:dyDescent="0.2"/>
    <row r="706" ht="12.75" hidden="1" x14ac:dyDescent="0.2"/>
    <row r="707" ht="12.75" hidden="1" x14ac:dyDescent="0.2"/>
    <row r="708" ht="12.75" hidden="1" x14ac:dyDescent="0.2"/>
    <row r="709" ht="12.75" hidden="1" x14ac:dyDescent="0.2"/>
    <row r="710" ht="12.75" hidden="1" x14ac:dyDescent="0.2"/>
    <row r="711" ht="12.75" hidden="1" x14ac:dyDescent="0.2"/>
    <row r="712" ht="12.75" hidden="1" x14ac:dyDescent="0.2"/>
    <row r="713" ht="12.75" hidden="1" x14ac:dyDescent="0.2"/>
    <row r="714" ht="12.75" hidden="1" x14ac:dyDescent="0.2"/>
    <row r="715" ht="12.75" hidden="1" x14ac:dyDescent="0.2"/>
    <row r="716" ht="12.75" hidden="1" x14ac:dyDescent="0.2"/>
    <row r="717" ht="12.75" hidden="1" x14ac:dyDescent="0.2"/>
    <row r="718" ht="12.75" hidden="1" x14ac:dyDescent="0.2"/>
    <row r="719" ht="12.75" hidden="1" x14ac:dyDescent="0.2"/>
    <row r="720" ht="12.75" hidden="1" x14ac:dyDescent="0.2"/>
    <row r="721" ht="12.75" hidden="1" x14ac:dyDescent="0.2"/>
    <row r="722" ht="12.75" hidden="1" x14ac:dyDescent="0.2"/>
    <row r="723" ht="12.75" hidden="1" x14ac:dyDescent="0.2"/>
    <row r="724" ht="12.75" hidden="1" x14ac:dyDescent="0.2"/>
    <row r="725" ht="12.75" hidden="1" x14ac:dyDescent="0.2"/>
    <row r="726" ht="12.75" hidden="1" x14ac:dyDescent="0.2"/>
    <row r="727" ht="12.75" hidden="1" x14ac:dyDescent="0.2"/>
    <row r="728" ht="12.75" hidden="1" x14ac:dyDescent="0.2"/>
    <row r="729" ht="12.75" hidden="1" x14ac:dyDescent="0.2"/>
    <row r="730" ht="12.75" hidden="1" x14ac:dyDescent="0.2"/>
    <row r="731" ht="12.75" hidden="1" x14ac:dyDescent="0.2"/>
    <row r="732" ht="12.75" hidden="1" x14ac:dyDescent="0.2"/>
    <row r="733" ht="12.75" hidden="1" x14ac:dyDescent="0.2"/>
    <row r="734" ht="12.75" hidden="1" x14ac:dyDescent="0.2"/>
    <row r="735" ht="12.75" hidden="1" x14ac:dyDescent="0.2"/>
    <row r="736" ht="12.75" hidden="1" x14ac:dyDescent="0.2"/>
    <row r="737" ht="12.75" hidden="1" x14ac:dyDescent="0.2"/>
    <row r="738" ht="12.75" hidden="1" x14ac:dyDescent="0.2"/>
    <row r="739" ht="12.75" hidden="1" x14ac:dyDescent="0.2"/>
    <row r="740" ht="12.75" hidden="1" x14ac:dyDescent="0.2"/>
    <row r="741" ht="12.75" hidden="1" x14ac:dyDescent="0.2"/>
    <row r="742" ht="12.75" hidden="1" x14ac:dyDescent="0.2"/>
    <row r="743" ht="12.75" hidden="1" x14ac:dyDescent="0.2"/>
    <row r="744" ht="12.75" hidden="1" x14ac:dyDescent="0.2"/>
    <row r="745" ht="12.75" hidden="1" x14ac:dyDescent="0.2"/>
    <row r="746" ht="12.75" hidden="1" x14ac:dyDescent="0.2"/>
    <row r="747" ht="12.75" hidden="1" x14ac:dyDescent="0.2"/>
    <row r="748" ht="12.75" hidden="1" x14ac:dyDescent="0.2"/>
    <row r="749" ht="12.75" hidden="1" x14ac:dyDescent="0.2"/>
    <row r="750" ht="12.75" hidden="1" x14ac:dyDescent="0.2"/>
    <row r="751" ht="12.75" hidden="1" x14ac:dyDescent="0.2"/>
    <row r="752" ht="12.75" hidden="1" x14ac:dyDescent="0.2"/>
    <row r="753" ht="12.75" hidden="1" x14ac:dyDescent="0.2"/>
    <row r="754" ht="12.75" hidden="1" x14ac:dyDescent="0.2"/>
    <row r="755" ht="12.75" hidden="1" x14ac:dyDescent="0.2"/>
    <row r="756" ht="12.75" hidden="1" x14ac:dyDescent="0.2"/>
    <row r="757" ht="12.75" hidden="1" x14ac:dyDescent="0.2"/>
    <row r="758" ht="12.75" hidden="1" x14ac:dyDescent="0.2"/>
    <row r="759" ht="12.75" hidden="1" x14ac:dyDescent="0.2"/>
    <row r="760" ht="12.75" hidden="1" x14ac:dyDescent="0.2"/>
    <row r="761" ht="12.75" hidden="1" x14ac:dyDescent="0.2"/>
    <row r="762" ht="12.75" hidden="1" x14ac:dyDescent="0.2"/>
    <row r="763" ht="12.75" hidden="1" x14ac:dyDescent="0.2"/>
    <row r="764" ht="12.75" hidden="1" x14ac:dyDescent="0.2"/>
    <row r="765" ht="12.75" hidden="1" x14ac:dyDescent="0.2"/>
    <row r="766" ht="12.75" hidden="1" x14ac:dyDescent="0.2"/>
    <row r="767" ht="12.75" hidden="1" x14ac:dyDescent="0.2"/>
    <row r="768" ht="12.75" hidden="1" x14ac:dyDescent="0.2"/>
    <row r="769" ht="12.75" hidden="1" x14ac:dyDescent="0.2"/>
    <row r="770" ht="12.75" hidden="1" x14ac:dyDescent="0.2"/>
    <row r="771" ht="12.75" hidden="1" x14ac:dyDescent="0.2"/>
    <row r="772" ht="12.75" hidden="1" x14ac:dyDescent="0.2"/>
    <row r="773" ht="12.75" hidden="1" x14ac:dyDescent="0.2"/>
    <row r="774" ht="12.75" hidden="1" x14ac:dyDescent="0.2"/>
    <row r="775" ht="12.75" hidden="1" x14ac:dyDescent="0.2"/>
    <row r="776" ht="12.75" hidden="1" x14ac:dyDescent="0.2"/>
    <row r="777" ht="12.75" hidden="1" x14ac:dyDescent="0.2"/>
    <row r="778" ht="12.75" hidden="1" x14ac:dyDescent="0.2"/>
    <row r="779" ht="12.75" hidden="1" x14ac:dyDescent="0.2"/>
    <row r="780" ht="12.75" hidden="1" x14ac:dyDescent="0.2"/>
    <row r="781" ht="12.75" hidden="1" x14ac:dyDescent="0.2"/>
    <row r="782" ht="12.75" hidden="1" x14ac:dyDescent="0.2"/>
    <row r="783" ht="12.75" hidden="1" x14ac:dyDescent="0.2"/>
    <row r="784" ht="12.75" hidden="1" x14ac:dyDescent="0.2"/>
    <row r="785" ht="12.75" hidden="1" x14ac:dyDescent="0.2"/>
    <row r="786" ht="12.75" hidden="1" x14ac:dyDescent="0.2"/>
    <row r="787" ht="12.75" hidden="1" x14ac:dyDescent="0.2"/>
    <row r="788" ht="12.75" hidden="1" x14ac:dyDescent="0.2"/>
    <row r="789" ht="12.75" hidden="1" x14ac:dyDescent="0.2"/>
    <row r="790" ht="12.75" hidden="1" x14ac:dyDescent="0.2"/>
    <row r="791" ht="12.75" hidden="1" x14ac:dyDescent="0.2"/>
    <row r="792" ht="12.75" hidden="1" x14ac:dyDescent="0.2"/>
    <row r="793" ht="12.75" hidden="1" x14ac:dyDescent="0.2"/>
    <row r="794" ht="12.75" hidden="1" x14ac:dyDescent="0.2"/>
    <row r="795" ht="12.75" hidden="1" x14ac:dyDescent="0.2"/>
    <row r="796" ht="12.75" hidden="1" x14ac:dyDescent="0.2"/>
    <row r="797" ht="12.75" hidden="1" x14ac:dyDescent="0.2"/>
    <row r="798" ht="12.75" hidden="1" x14ac:dyDescent="0.2"/>
    <row r="799" ht="12.75" hidden="1" x14ac:dyDescent="0.2"/>
    <row r="800" ht="12.75" hidden="1" x14ac:dyDescent="0.2"/>
    <row r="801" ht="12.75" hidden="1" x14ac:dyDescent="0.2"/>
    <row r="802" ht="12.75" hidden="1" x14ac:dyDescent="0.2"/>
    <row r="803" ht="12.75" hidden="1" x14ac:dyDescent="0.2"/>
    <row r="804" ht="12.75" hidden="1" x14ac:dyDescent="0.2"/>
    <row r="805" ht="12.75" hidden="1" x14ac:dyDescent="0.2"/>
    <row r="806" ht="12.75" hidden="1" x14ac:dyDescent="0.2"/>
    <row r="807" ht="12.75" hidden="1" x14ac:dyDescent="0.2"/>
    <row r="808" ht="12.75" hidden="1" x14ac:dyDescent="0.2"/>
    <row r="809" ht="12.75" hidden="1" x14ac:dyDescent="0.2"/>
    <row r="810" ht="12.75" hidden="1" x14ac:dyDescent="0.2"/>
    <row r="811" ht="12.75" hidden="1" x14ac:dyDescent="0.2"/>
    <row r="812" ht="12.75" hidden="1" x14ac:dyDescent="0.2"/>
    <row r="813" ht="12.75" hidden="1" x14ac:dyDescent="0.2"/>
    <row r="814" ht="12.75" hidden="1" x14ac:dyDescent="0.2"/>
    <row r="815" ht="12.75" hidden="1" x14ac:dyDescent="0.2"/>
    <row r="816" ht="12.75" hidden="1" x14ac:dyDescent="0.2"/>
    <row r="817" ht="12.75" hidden="1" x14ac:dyDescent="0.2"/>
    <row r="818" ht="12.75" hidden="1" x14ac:dyDescent="0.2"/>
    <row r="819" ht="12.75" hidden="1" x14ac:dyDescent="0.2"/>
    <row r="820" ht="12.75" hidden="1" x14ac:dyDescent="0.2"/>
    <row r="821" ht="12.75" hidden="1" x14ac:dyDescent="0.2"/>
    <row r="822" ht="12.75" hidden="1" x14ac:dyDescent="0.2"/>
    <row r="823" ht="12.75" hidden="1" x14ac:dyDescent="0.2"/>
    <row r="824" ht="12.75" hidden="1" x14ac:dyDescent="0.2"/>
    <row r="825" ht="12.75" hidden="1" x14ac:dyDescent="0.2"/>
    <row r="826" ht="12.75" hidden="1" x14ac:dyDescent="0.2"/>
    <row r="827" ht="12.75" hidden="1" x14ac:dyDescent="0.2"/>
    <row r="828" ht="12.75" hidden="1" x14ac:dyDescent="0.2"/>
    <row r="829" ht="12.75" hidden="1" x14ac:dyDescent="0.2"/>
    <row r="830" ht="12.75" hidden="1" x14ac:dyDescent="0.2"/>
    <row r="831" ht="12.75" hidden="1" x14ac:dyDescent="0.2"/>
    <row r="832" ht="12.75" hidden="1" x14ac:dyDescent="0.2"/>
    <row r="833" ht="12.75" hidden="1" x14ac:dyDescent="0.2"/>
    <row r="834" ht="12.75" hidden="1" x14ac:dyDescent="0.2"/>
    <row r="835" ht="12.75" hidden="1" x14ac:dyDescent="0.2"/>
    <row r="836" ht="12.75" hidden="1" x14ac:dyDescent="0.2"/>
    <row r="837" ht="12.75" hidden="1" x14ac:dyDescent="0.2"/>
    <row r="838" ht="12.75" hidden="1" x14ac:dyDescent="0.2"/>
    <row r="839" ht="12.75" hidden="1" x14ac:dyDescent="0.2"/>
    <row r="840" ht="12.75" hidden="1" x14ac:dyDescent="0.2"/>
    <row r="841" ht="12.75" hidden="1" x14ac:dyDescent="0.2"/>
    <row r="842" ht="12.75" hidden="1" x14ac:dyDescent="0.2"/>
    <row r="843" ht="12.75" hidden="1" x14ac:dyDescent="0.2"/>
    <row r="844" ht="12.75" hidden="1" x14ac:dyDescent="0.2"/>
    <row r="845" ht="12.75" hidden="1" x14ac:dyDescent="0.2"/>
    <row r="846" ht="12.75" hidden="1" x14ac:dyDescent="0.2"/>
    <row r="847" ht="12.75" hidden="1" x14ac:dyDescent="0.2"/>
    <row r="848" ht="12.75" hidden="1" x14ac:dyDescent="0.2"/>
    <row r="849" ht="12.75" hidden="1" x14ac:dyDescent="0.2"/>
    <row r="850" ht="12.75" hidden="1" x14ac:dyDescent="0.2"/>
    <row r="851" ht="12.75" hidden="1" x14ac:dyDescent="0.2"/>
    <row r="852" ht="12.75" hidden="1" x14ac:dyDescent="0.2"/>
    <row r="853" ht="12.75" hidden="1" x14ac:dyDescent="0.2"/>
    <row r="854" ht="12.75" hidden="1" x14ac:dyDescent="0.2"/>
    <row r="855" ht="12.75" hidden="1" x14ac:dyDescent="0.2"/>
    <row r="856" ht="12.75" hidden="1" x14ac:dyDescent="0.2"/>
    <row r="857" ht="12.75" hidden="1" x14ac:dyDescent="0.2"/>
    <row r="858" ht="12.75" hidden="1" x14ac:dyDescent="0.2"/>
    <row r="859" ht="12.75" hidden="1" x14ac:dyDescent="0.2"/>
    <row r="860" ht="12.75" hidden="1" x14ac:dyDescent="0.2"/>
    <row r="861" ht="12.75" hidden="1" x14ac:dyDescent="0.2"/>
    <row r="862" ht="12.75" hidden="1" x14ac:dyDescent="0.2"/>
    <row r="863" ht="12.75" hidden="1" x14ac:dyDescent="0.2"/>
    <row r="864" ht="12.75" hidden="1" x14ac:dyDescent="0.2"/>
    <row r="865" ht="12.75" hidden="1" x14ac:dyDescent="0.2"/>
    <row r="866" ht="12.75" hidden="1" x14ac:dyDescent="0.2"/>
    <row r="867" ht="12.75" hidden="1" x14ac:dyDescent="0.2"/>
    <row r="868" ht="12.75" hidden="1" x14ac:dyDescent="0.2"/>
    <row r="869" ht="12.75" hidden="1" x14ac:dyDescent="0.2"/>
    <row r="870" ht="12.75" hidden="1" x14ac:dyDescent="0.2"/>
    <row r="871" ht="12.75" hidden="1" x14ac:dyDescent="0.2"/>
    <row r="872" ht="12.75" hidden="1" x14ac:dyDescent="0.2"/>
    <row r="873" ht="12.75" hidden="1" x14ac:dyDescent="0.2"/>
    <row r="874" ht="12.75" hidden="1" x14ac:dyDescent="0.2"/>
    <row r="875" ht="12.75" hidden="1" x14ac:dyDescent="0.2"/>
    <row r="876" ht="12.75" hidden="1" x14ac:dyDescent="0.2"/>
    <row r="877" ht="12.75" hidden="1" x14ac:dyDescent="0.2"/>
    <row r="878" ht="12.75" hidden="1" x14ac:dyDescent="0.2"/>
    <row r="879" ht="12.75" hidden="1" x14ac:dyDescent="0.2"/>
    <row r="880" ht="12.75" hidden="1" x14ac:dyDescent="0.2"/>
    <row r="881" ht="12.75" hidden="1" x14ac:dyDescent="0.2"/>
    <row r="882" ht="12.75" hidden="1" x14ac:dyDescent="0.2"/>
    <row r="883" ht="12.75" hidden="1" x14ac:dyDescent="0.2"/>
    <row r="884" ht="12.75" hidden="1" x14ac:dyDescent="0.2"/>
    <row r="885" ht="12.75" hidden="1" x14ac:dyDescent="0.2"/>
    <row r="886" ht="12.75" hidden="1" x14ac:dyDescent="0.2"/>
    <row r="887" ht="12.75" hidden="1" x14ac:dyDescent="0.2"/>
    <row r="888" ht="12.75" hidden="1" x14ac:dyDescent="0.2"/>
    <row r="889" ht="12.75" hidden="1" x14ac:dyDescent="0.2"/>
    <row r="890" ht="12.75" hidden="1" x14ac:dyDescent="0.2"/>
    <row r="891" ht="12.75" hidden="1" x14ac:dyDescent="0.2"/>
    <row r="892" ht="12.75" hidden="1" x14ac:dyDescent="0.2"/>
    <row r="893" ht="12.75" hidden="1" x14ac:dyDescent="0.2"/>
    <row r="894" ht="12.75" hidden="1" x14ac:dyDescent="0.2"/>
    <row r="895" ht="12.75" hidden="1" x14ac:dyDescent="0.2"/>
    <row r="896" ht="12.75" hidden="1" x14ac:dyDescent="0.2"/>
    <row r="897" ht="12.75" hidden="1" x14ac:dyDescent="0.2"/>
    <row r="898" ht="12.75" hidden="1" x14ac:dyDescent="0.2"/>
    <row r="899" ht="12.75" hidden="1" x14ac:dyDescent="0.2"/>
    <row r="900" ht="12.75" hidden="1" x14ac:dyDescent="0.2"/>
    <row r="901" ht="12.75" hidden="1" x14ac:dyDescent="0.2"/>
    <row r="902" ht="12.75" hidden="1" x14ac:dyDescent="0.2"/>
    <row r="903" ht="12.75" hidden="1" x14ac:dyDescent="0.2"/>
    <row r="904" ht="12.75" hidden="1" x14ac:dyDescent="0.2"/>
    <row r="905" ht="12.75" hidden="1" x14ac:dyDescent="0.2"/>
    <row r="906" ht="12.75" hidden="1" x14ac:dyDescent="0.2"/>
    <row r="907" ht="12.75" hidden="1" x14ac:dyDescent="0.2"/>
    <row r="908" ht="12.75" hidden="1" x14ac:dyDescent="0.2"/>
    <row r="909" ht="12.75" hidden="1" x14ac:dyDescent="0.2"/>
    <row r="910" ht="12.75" hidden="1" x14ac:dyDescent="0.2"/>
    <row r="911" ht="12.75" hidden="1" x14ac:dyDescent="0.2"/>
    <row r="912" ht="12.75" hidden="1" x14ac:dyDescent="0.2"/>
    <row r="913" ht="12.75" hidden="1" x14ac:dyDescent="0.2"/>
    <row r="914" ht="12.75" hidden="1" x14ac:dyDescent="0.2"/>
    <row r="915" ht="12.75" hidden="1" x14ac:dyDescent="0.2"/>
    <row r="916" ht="12.75" hidden="1" x14ac:dyDescent="0.2"/>
    <row r="917" ht="12.75" hidden="1" x14ac:dyDescent="0.2"/>
    <row r="918" ht="12.75" hidden="1" x14ac:dyDescent="0.2"/>
    <row r="919" ht="12.75" hidden="1" x14ac:dyDescent="0.2"/>
    <row r="920" ht="12.75" hidden="1" x14ac:dyDescent="0.2"/>
    <row r="921" ht="12.75" hidden="1" x14ac:dyDescent="0.2"/>
    <row r="922" ht="12.75" hidden="1" x14ac:dyDescent="0.2"/>
    <row r="923" ht="12.75" hidden="1" x14ac:dyDescent="0.2"/>
    <row r="924" ht="12.75" hidden="1" x14ac:dyDescent="0.2"/>
    <row r="925" ht="12.75" hidden="1" x14ac:dyDescent="0.2"/>
    <row r="926" ht="12.75" hidden="1" x14ac:dyDescent="0.2"/>
    <row r="927" ht="12.75" hidden="1" x14ac:dyDescent="0.2"/>
    <row r="928" ht="12.75" hidden="1" x14ac:dyDescent="0.2"/>
    <row r="929" ht="12.75" hidden="1" x14ac:dyDescent="0.2"/>
    <row r="930" ht="12.75" hidden="1" x14ac:dyDescent="0.2"/>
    <row r="931" ht="12.75" hidden="1" x14ac:dyDescent="0.2"/>
    <row r="932" ht="12.75" hidden="1" x14ac:dyDescent="0.2"/>
    <row r="933" ht="12.75" hidden="1" x14ac:dyDescent="0.2"/>
    <row r="934" ht="12.75" hidden="1" x14ac:dyDescent="0.2"/>
    <row r="935" ht="12.75" hidden="1" x14ac:dyDescent="0.2"/>
    <row r="936" ht="12.75" hidden="1" x14ac:dyDescent="0.2"/>
    <row r="937" ht="12.75" hidden="1" x14ac:dyDescent="0.2"/>
    <row r="938" ht="12.75" hidden="1" x14ac:dyDescent="0.2"/>
    <row r="939" ht="12.75" hidden="1" x14ac:dyDescent="0.2"/>
    <row r="940" ht="12.75" hidden="1" x14ac:dyDescent="0.2"/>
    <row r="941" ht="12.75" hidden="1" x14ac:dyDescent="0.2"/>
    <row r="942" ht="12.75" hidden="1" x14ac:dyDescent="0.2"/>
    <row r="943" ht="12.75" hidden="1" x14ac:dyDescent="0.2"/>
    <row r="944" ht="12.75" hidden="1" x14ac:dyDescent="0.2"/>
    <row r="945" ht="12.75" hidden="1" x14ac:dyDescent="0.2"/>
    <row r="946" ht="12.75" hidden="1" x14ac:dyDescent="0.2"/>
    <row r="947" ht="12.75" hidden="1" x14ac:dyDescent="0.2"/>
    <row r="948" ht="12.75" hidden="1" x14ac:dyDescent="0.2"/>
    <row r="949" ht="12.75" hidden="1" x14ac:dyDescent="0.2"/>
    <row r="950" ht="12.75" hidden="1" x14ac:dyDescent="0.2"/>
    <row r="951" ht="12.75" hidden="1" x14ac:dyDescent="0.2"/>
    <row r="952" ht="12.75" hidden="1" x14ac:dyDescent="0.2"/>
    <row r="953" ht="12.75" hidden="1" x14ac:dyDescent="0.2"/>
    <row r="954" ht="12.75" hidden="1" x14ac:dyDescent="0.2"/>
    <row r="955" ht="12.75" hidden="1" x14ac:dyDescent="0.2"/>
    <row r="956" ht="12.75" hidden="1" x14ac:dyDescent="0.2"/>
    <row r="957" ht="12.75" hidden="1" x14ac:dyDescent="0.2"/>
    <row r="958" ht="12.75" hidden="1" x14ac:dyDescent="0.2"/>
    <row r="959" ht="12.75" hidden="1" x14ac:dyDescent="0.2"/>
    <row r="960" ht="12.75" hidden="1" x14ac:dyDescent="0.2"/>
    <row r="961" ht="12.75" hidden="1" x14ac:dyDescent="0.2"/>
    <row r="962" ht="12.75" hidden="1" x14ac:dyDescent="0.2"/>
    <row r="963" ht="12.75" hidden="1" x14ac:dyDescent="0.2"/>
    <row r="964" ht="12.75" hidden="1" x14ac:dyDescent="0.2"/>
    <row r="965" ht="12.75" hidden="1" x14ac:dyDescent="0.2"/>
    <row r="966" ht="12.75" hidden="1" x14ac:dyDescent="0.2"/>
    <row r="967" ht="12.75" hidden="1" x14ac:dyDescent="0.2"/>
    <row r="968" ht="12.75" hidden="1" x14ac:dyDescent="0.2"/>
    <row r="969" ht="12.75" hidden="1" x14ac:dyDescent="0.2"/>
    <row r="970" ht="12.75" hidden="1" x14ac:dyDescent="0.2"/>
    <row r="971" ht="12.75" hidden="1" x14ac:dyDescent="0.2"/>
    <row r="972" ht="12.75" hidden="1" x14ac:dyDescent="0.2"/>
    <row r="973" ht="12.75" hidden="1" x14ac:dyDescent="0.2"/>
    <row r="974" ht="12.75" hidden="1" x14ac:dyDescent="0.2"/>
    <row r="975" ht="12.75" hidden="1" x14ac:dyDescent="0.2"/>
    <row r="976" ht="12.75" hidden="1" x14ac:dyDescent="0.2"/>
    <row r="977" ht="12.75" hidden="1" x14ac:dyDescent="0.2"/>
    <row r="978" ht="12.75" hidden="1" x14ac:dyDescent="0.2"/>
    <row r="979" ht="12.75" hidden="1" x14ac:dyDescent="0.2"/>
    <row r="980" ht="12.75" hidden="1" x14ac:dyDescent="0.2"/>
    <row r="981" ht="12.75" hidden="1" x14ac:dyDescent="0.2"/>
    <row r="982" ht="12.75" hidden="1" x14ac:dyDescent="0.2"/>
    <row r="983" ht="12.75" hidden="1" x14ac:dyDescent="0.2"/>
    <row r="984" ht="12.75" hidden="1" x14ac:dyDescent="0.2"/>
    <row r="985" ht="12.75" hidden="1" x14ac:dyDescent="0.2"/>
    <row r="986" ht="12.75" hidden="1" x14ac:dyDescent="0.2"/>
    <row r="987" ht="12.75" hidden="1" x14ac:dyDescent="0.2"/>
    <row r="988" ht="12.75" hidden="1" x14ac:dyDescent="0.2"/>
    <row r="989" ht="12.75" hidden="1" x14ac:dyDescent="0.2"/>
    <row r="990" ht="12.75" hidden="1" x14ac:dyDescent="0.2"/>
    <row r="991" ht="12.75" hidden="1" x14ac:dyDescent="0.2"/>
    <row r="992" ht="12.75" hidden="1" x14ac:dyDescent="0.2"/>
    <row r="993" ht="12.75" hidden="1" x14ac:dyDescent="0.2"/>
    <row r="994" ht="12.75" hidden="1" x14ac:dyDescent="0.2"/>
    <row r="995" ht="12.75" hidden="1" x14ac:dyDescent="0.2"/>
    <row r="996" ht="12.75" hidden="1" x14ac:dyDescent="0.2"/>
    <row r="997" ht="12.75" hidden="1" x14ac:dyDescent="0.2"/>
    <row r="998" ht="12.75" hidden="1" x14ac:dyDescent="0.2"/>
    <row r="999" ht="12.75" hidden="1" x14ac:dyDescent="0.2"/>
    <row r="1000" ht="12.75" hidden="1" x14ac:dyDescent="0.2"/>
  </sheetData>
  <autoFilter ref="A1:A1000">
    <filterColumn colId="0">
      <filters>
        <filter val="Beauty"/>
        <filter val="Clothing"/>
        <filter val="Electronics"/>
        <filter val="Grand Total"/>
        <filter val="Home"/>
        <filter val="Product Category"/>
        <filter val="Sports"/>
      </filters>
    </filterColumn>
  </autoFilter>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B1000"/>
  <sheetViews>
    <sheetView showGridLines="0" workbookViewId="0"/>
  </sheetViews>
  <sheetFormatPr defaultColWidth="12.5703125" defaultRowHeight="15.75" customHeight="1" x14ac:dyDescent="0.2"/>
  <sheetData>
    <row r="1" spans="1:2" ht="12.75" x14ac:dyDescent="0.2">
      <c r="A1" s="9" t="s">
        <v>2</v>
      </c>
      <c r="B1" s="6" t="s">
        <v>264</v>
      </c>
    </row>
    <row r="2" spans="1:2" ht="12.75" hidden="1" x14ac:dyDescent="0.2">
      <c r="A2" s="18" t="s">
        <v>250</v>
      </c>
      <c r="B2" s="11">
        <v>17177.5</v>
      </c>
    </row>
    <row r="3" spans="1:2" ht="12.75" x14ac:dyDescent="0.2">
      <c r="A3" s="21" t="s">
        <v>251</v>
      </c>
      <c r="B3" s="13">
        <v>3732.9800000000005</v>
      </c>
    </row>
    <row r="4" spans="1:2" ht="12.75" x14ac:dyDescent="0.2">
      <c r="A4" s="21" t="s">
        <v>252</v>
      </c>
      <c r="B4" s="13">
        <v>8312.9699999999993</v>
      </c>
    </row>
    <row r="5" spans="1:2" ht="12.75" x14ac:dyDescent="0.2">
      <c r="A5" s="21" t="s">
        <v>253</v>
      </c>
      <c r="B5" s="13">
        <v>12769.799999999997</v>
      </c>
    </row>
    <row r="6" spans="1:2" ht="12.75" x14ac:dyDescent="0.2">
      <c r="A6" s="21" t="s">
        <v>254</v>
      </c>
      <c r="B6" s="13">
        <v>12383.85</v>
      </c>
    </row>
    <row r="7" spans="1:2" ht="12.75" x14ac:dyDescent="0.2">
      <c r="A7" s="21" t="s">
        <v>255</v>
      </c>
      <c r="B7" s="13">
        <v>13960.749999999996</v>
      </c>
    </row>
    <row r="8" spans="1:2" ht="12.75" x14ac:dyDescent="0.2">
      <c r="A8" s="21" t="s">
        <v>256</v>
      </c>
      <c r="B8" s="13">
        <v>15355.02</v>
      </c>
    </row>
    <row r="9" spans="1:2" ht="12.75" x14ac:dyDescent="0.2">
      <c r="A9" s="21" t="s">
        <v>257</v>
      </c>
      <c r="B9" s="13">
        <v>9662.5499999999993</v>
      </c>
    </row>
    <row r="10" spans="1:2" ht="12.75" x14ac:dyDescent="0.2">
      <c r="A10" s="21" t="s">
        <v>258</v>
      </c>
      <c r="B10" s="13">
        <v>20119.139999999992</v>
      </c>
    </row>
    <row r="11" spans="1:2" ht="12.75" x14ac:dyDescent="0.2">
      <c r="A11" s="21" t="s">
        <v>259</v>
      </c>
      <c r="B11" s="13">
        <v>14208.96</v>
      </c>
    </row>
    <row r="12" spans="1:2" ht="12.75" x14ac:dyDescent="0.2">
      <c r="A12" s="21" t="s">
        <v>260</v>
      </c>
      <c r="B12" s="13">
        <v>18394.510000000002</v>
      </c>
    </row>
    <row r="13" spans="1:2" ht="12.75" x14ac:dyDescent="0.2">
      <c r="A13" s="21" t="s">
        <v>261</v>
      </c>
      <c r="B13" s="13">
        <v>15747.239999999998</v>
      </c>
    </row>
    <row r="14" spans="1:2" ht="12.75" x14ac:dyDescent="0.2">
      <c r="A14" s="21" t="s">
        <v>262</v>
      </c>
      <c r="B14" s="13">
        <v>14452.669999999998</v>
      </c>
    </row>
    <row r="15" spans="1:2" ht="12.75" x14ac:dyDescent="0.2">
      <c r="A15" s="21" t="s">
        <v>269</v>
      </c>
      <c r="B15" s="13"/>
    </row>
    <row r="16" spans="1:2" ht="12.75" x14ac:dyDescent="0.2">
      <c r="A16" s="24" t="s">
        <v>247</v>
      </c>
      <c r="B16" s="15">
        <v>176277.94</v>
      </c>
    </row>
    <row r="17" ht="12.75" hidden="1" x14ac:dyDescent="0.2"/>
    <row r="18" ht="12.75" hidden="1" x14ac:dyDescent="0.2"/>
    <row r="19" ht="12.75" hidden="1" x14ac:dyDescent="0.2"/>
    <row r="20" ht="12.75" hidden="1" x14ac:dyDescent="0.2"/>
    <row r="21" ht="12.75" hidden="1" x14ac:dyDescent="0.2"/>
    <row r="22" ht="12.75" hidden="1" x14ac:dyDescent="0.2"/>
    <row r="23" ht="12.75" hidden="1" x14ac:dyDescent="0.2"/>
    <row r="24" ht="12.75" hidden="1" x14ac:dyDescent="0.2"/>
    <row r="25" ht="12.75" hidden="1" x14ac:dyDescent="0.2"/>
    <row r="26" ht="12.75" hidden="1" x14ac:dyDescent="0.2"/>
    <row r="27" ht="12.75" hidden="1" x14ac:dyDescent="0.2"/>
    <row r="28" ht="12.75" hidden="1" x14ac:dyDescent="0.2"/>
    <row r="29" ht="12.75" hidden="1" x14ac:dyDescent="0.2"/>
    <row r="30" ht="12.75" hidden="1" x14ac:dyDescent="0.2"/>
    <row r="31" ht="12.75" hidden="1" x14ac:dyDescent="0.2"/>
    <row r="32" ht="12.75" hidden="1" x14ac:dyDescent="0.2"/>
    <row r="33" ht="12.75" hidden="1" x14ac:dyDescent="0.2"/>
    <row r="34" ht="12.75" hidden="1" x14ac:dyDescent="0.2"/>
    <row r="35" ht="12.75" hidden="1" x14ac:dyDescent="0.2"/>
    <row r="36" ht="12.75" hidden="1" x14ac:dyDescent="0.2"/>
    <row r="37" ht="12.75" hidden="1" x14ac:dyDescent="0.2"/>
    <row r="38" ht="12.75" hidden="1" x14ac:dyDescent="0.2"/>
    <row r="39" ht="12.75" hidden="1" x14ac:dyDescent="0.2"/>
    <row r="40" ht="12.75" hidden="1" x14ac:dyDescent="0.2"/>
    <row r="41" ht="12.75" hidden="1" x14ac:dyDescent="0.2"/>
    <row r="42" ht="12.75" hidden="1" x14ac:dyDescent="0.2"/>
    <row r="43" ht="12.75" hidden="1" x14ac:dyDescent="0.2"/>
    <row r="44" ht="12.75" hidden="1" x14ac:dyDescent="0.2"/>
    <row r="45" ht="12.75" hidden="1" x14ac:dyDescent="0.2"/>
    <row r="46" ht="12.75" hidden="1" x14ac:dyDescent="0.2"/>
    <row r="47" ht="12.75" hidden="1" x14ac:dyDescent="0.2"/>
    <row r="48" ht="12.75" hidden="1" x14ac:dyDescent="0.2"/>
    <row r="49" ht="12.75" hidden="1" x14ac:dyDescent="0.2"/>
    <row r="50" ht="12.75" hidden="1" x14ac:dyDescent="0.2"/>
    <row r="51" ht="12.75" hidden="1" x14ac:dyDescent="0.2"/>
    <row r="52" ht="12.75" hidden="1" x14ac:dyDescent="0.2"/>
    <row r="53" ht="12.75" hidden="1" x14ac:dyDescent="0.2"/>
    <row r="54" ht="12.75" hidden="1" x14ac:dyDescent="0.2"/>
    <row r="55" ht="12.75" hidden="1" x14ac:dyDescent="0.2"/>
    <row r="56" ht="12.75" hidden="1" x14ac:dyDescent="0.2"/>
    <row r="57" ht="12.75" hidden="1" x14ac:dyDescent="0.2"/>
    <row r="58" ht="12.75" hidden="1" x14ac:dyDescent="0.2"/>
    <row r="59" ht="12.75" hidden="1" x14ac:dyDescent="0.2"/>
    <row r="60" ht="12.75" hidden="1" x14ac:dyDescent="0.2"/>
    <row r="61" ht="12.75" hidden="1" x14ac:dyDescent="0.2"/>
    <row r="62" ht="12.75" hidden="1" x14ac:dyDescent="0.2"/>
    <row r="63" ht="12.75" hidden="1" x14ac:dyDescent="0.2"/>
    <row r="64" ht="12.75" hidden="1" x14ac:dyDescent="0.2"/>
    <row r="65" ht="12.75" hidden="1" x14ac:dyDescent="0.2"/>
    <row r="66" ht="12.75" hidden="1" x14ac:dyDescent="0.2"/>
    <row r="67" ht="12.75" hidden="1" x14ac:dyDescent="0.2"/>
    <row r="68" ht="12.75" hidden="1" x14ac:dyDescent="0.2"/>
    <row r="69" ht="12.75" hidden="1" x14ac:dyDescent="0.2"/>
    <row r="70" ht="12.75" hidden="1" x14ac:dyDescent="0.2"/>
    <row r="71" ht="12.75" hidden="1" x14ac:dyDescent="0.2"/>
    <row r="72" ht="12.75" hidden="1" x14ac:dyDescent="0.2"/>
    <row r="73" ht="12.75" hidden="1" x14ac:dyDescent="0.2"/>
    <row r="74" ht="12.75" hidden="1" x14ac:dyDescent="0.2"/>
    <row r="75" ht="12.75" hidden="1" x14ac:dyDescent="0.2"/>
    <row r="76" ht="12.75" hidden="1" x14ac:dyDescent="0.2"/>
    <row r="77" ht="12.75" hidden="1" x14ac:dyDescent="0.2"/>
    <row r="78" ht="12.75" hidden="1" x14ac:dyDescent="0.2"/>
    <row r="79" ht="12.75" hidden="1" x14ac:dyDescent="0.2"/>
    <row r="80" ht="12.75" hidden="1" x14ac:dyDescent="0.2"/>
    <row r="81" ht="12.75" hidden="1" x14ac:dyDescent="0.2"/>
    <row r="82" ht="12.75" hidden="1" x14ac:dyDescent="0.2"/>
    <row r="83" ht="12.75" hidden="1" x14ac:dyDescent="0.2"/>
    <row r="84" ht="12.75" hidden="1" x14ac:dyDescent="0.2"/>
    <row r="85" ht="12.75" hidden="1" x14ac:dyDescent="0.2"/>
    <row r="86" ht="12.75" hidden="1" x14ac:dyDescent="0.2"/>
    <row r="87" ht="12.75" hidden="1" x14ac:dyDescent="0.2"/>
    <row r="88" ht="12.75" hidden="1" x14ac:dyDescent="0.2"/>
    <row r="89" ht="12.75" hidden="1" x14ac:dyDescent="0.2"/>
    <row r="90" ht="12.75" hidden="1" x14ac:dyDescent="0.2"/>
    <row r="91" ht="12.75" hidden="1" x14ac:dyDescent="0.2"/>
    <row r="92" ht="12.75" hidden="1" x14ac:dyDescent="0.2"/>
    <row r="93" ht="12.75" hidden="1" x14ac:dyDescent="0.2"/>
    <row r="94" ht="12.75" hidden="1" x14ac:dyDescent="0.2"/>
    <row r="95" ht="12.75" hidden="1" x14ac:dyDescent="0.2"/>
    <row r="96" ht="12.75" hidden="1" x14ac:dyDescent="0.2"/>
    <row r="97" ht="12.75" hidden="1" x14ac:dyDescent="0.2"/>
    <row r="98" ht="12.75" hidden="1" x14ac:dyDescent="0.2"/>
    <row r="99" ht="12.75" hidden="1" x14ac:dyDescent="0.2"/>
    <row r="100" ht="12.75" hidden="1" x14ac:dyDescent="0.2"/>
    <row r="101" ht="12.75" hidden="1" x14ac:dyDescent="0.2"/>
    <row r="102" ht="12.75" hidden="1" x14ac:dyDescent="0.2"/>
    <row r="103" ht="12.75" hidden="1" x14ac:dyDescent="0.2"/>
    <row r="104" ht="12.75" hidden="1" x14ac:dyDescent="0.2"/>
    <row r="105" ht="12.75" hidden="1" x14ac:dyDescent="0.2"/>
    <row r="106" ht="12.75" hidden="1" x14ac:dyDescent="0.2"/>
    <row r="107" ht="12.75" hidden="1" x14ac:dyDescent="0.2"/>
    <row r="108" ht="12.75" hidden="1" x14ac:dyDescent="0.2"/>
    <row r="109" ht="12.75" hidden="1" x14ac:dyDescent="0.2"/>
    <row r="110" ht="12.75" hidden="1" x14ac:dyDescent="0.2"/>
    <row r="111" ht="12.75" hidden="1" x14ac:dyDescent="0.2"/>
    <row r="112" ht="12.75" hidden="1" x14ac:dyDescent="0.2"/>
    <row r="113" ht="12.75" hidden="1" x14ac:dyDescent="0.2"/>
    <row r="114" ht="12.75" hidden="1" x14ac:dyDescent="0.2"/>
    <row r="115" ht="12.75" hidden="1" x14ac:dyDescent="0.2"/>
    <row r="116" ht="12.75" hidden="1" x14ac:dyDescent="0.2"/>
    <row r="117" ht="12.75" hidden="1" x14ac:dyDescent="0.2"/>
    <row r="118" ht="12.75" hidden="1" x14ac:dyDescent="0.2"/>
    <row r="119" ht="12.75" hidden="1" x14ac:dyDescent="0.2"/>
    <row r="120" ht="12.75" hidden="1" x14ac:dyDescent="0.2"/>
    <row r="121" ht="12.75" hidden="1" x14ac:dyDescent="0.2"/>
    <row r="122" ht="12.75" hidden="1" x14ac:dyDescent="0.2"/>
    <row r="123" ht="12.75" hidden="1" x14ac:dyDescent="0.2"/>
    <row r="124" ht="12.75" hidden="1" x14ac:dyDescent="0.2"/>
    <row r="125" ht="12.75" hidden="1" x14ac:dyDescent="0.2"/>
    <row r="126" ht="12.75" hidden="1" x14ac:dyDescent="0.2"/>
    <row r="127" ht="12.75" hidden="1" x14ac:dyDescent="0.2"/>
    <row r="128" ht="12.75" hidden="1" x14ac:dyDescent="0.2"/>
    <row r="129" ht="12.75" hidden="1" x14ac:dyDescent="0.2"/>
    <row r="130" ht="12.75" hidden="1" x14ac:dyDescent="0.2"/>
    <row r="131" ht="12.75" hidden="1" x14ac:dyDescent="0.2"/>
    <row r="132" ht="12.75" hidden="1" x14ac:dyDescent="0.2"/>
    <row r="133" ht="12.75" hidden="1" x14ac:dyDescent="0.2"/>
    <row r="134" ht="12.75" hidden="1" x14ac:dyDescent="0.2"/>
    <row r="135" ht="12.75" hidden="1" x14ac:dyDescent="0.2"/>
    <row r="136" ht="12.75" hidden="1" x14ac:dyDescent="0.2"/>
    <row r="137" ht="12.75" hidden="1" x14ac:dyDescent="0.2"/>
    <row r="138" ht="12.75" hidden="1" x14ac:dyDescent="0.2"/>
    <row r="139" ht="12.75" hidden="1" x14ac:dyDescent="0.2"/>
    <row r="140" ht="12.75" hidden="1" x14ac:dyDescent="0.2"/>
    <row r="141" ht="12.75" hidden="1" x14ac:dyDescent="0.2"/>
    <row r="142" ht="12.75" hidden="1" x14ac:dyDescent="0.2"/>
    <row r="143" ht="12.75" hidden="1" x14ac:dyDescent="0.2"/>
    <row r="144" ht="12.75" hidden="1" x14ac:dyDescent="0.2"/>
    <row r="145" ht="12.75" hidden="1" x14ac:dyDescent="0.2"/>
    <row r="146" ht="12.75" hidden="1" x14ac:dyDescent="0.2"/>
    <row r="147" ht="12.75" hidden="1" x14ac:dyDescent="0.2"/>
    <row r="148" ht="12.75" hidden="1" x14ac:dyDescent="0.2"/>
    <row r="149" ht="12.75" hidden="1" x14ac:dyDescent="0.2"/>
    <row r="150" ht="12.75" hidden="1" x14ac:dyDescent="0.2"/>
    <row r="151" ht="12.75" hidden="1" x14ac:dyDescent="0.2"/>
    <row r="152" ht="12.75" hidden="1" x14ac:dyDescent="0.2"/>
    <row r="153" ht="12.75" hidden="1" x14ac:dyDescent="0.2"/>
    <row r="154" ht="12.75" hidden="1" x14ac:dyDescent="0.2"/>
    <row r="155" ht="12.75" hidden="1" x14ac:dyDescent="0.2"/>
    <row r="156" ht="12.75" hidden="1" x14ac:dyDescent="0.2"/>
    <row r="157" ht="12.75" hidden="1" x14ac:dyDescent="0.2"/>
    <row r="158" ht="12.75" hidden="1" x14ac:dyDescent="0.2"/>
    <row r="159" ht="12.75" hidden="1" x14ac:dyDescent="0.2"/>
    <row r="160" ht="12.75" hidden="1" x14ac:dyDescent="0.2"/>
    <row r="161" ht="12.75" hidden="1" x14ac:dyDescent="0.2"/>
    <row r="162" ht="12.75" hidden="1" x14ac:dyDescent="0.2"/>
    <row r="163" ht="12.75" hidden="1" x14ac:dyDescent="0.2"/>
    <row r="164" ht="12.75" hidden="1" x14ac:dyDescent="0.2"/>
    <row r="165" ht="12.75" hidden="1" x14ac:dyDescent="0.2"/>
    <row r="166" ht="12.75" hidden="1" x14ac:dyDescent="0.2"/>
    <row r="167" ht="12.75" hidden="1" x14ac:dyDescent="0.2"/>
    <row r="168" ht="12.75" hidden="1" x14ac:dyDescent="0.2"/>
    <row r="169" ht="12.75" hidden="1" x14ac:dyDescent="0.2"/>
    <row r="170" ht="12.75" hidden="1" x14ac:dyDescent="0.2"/>
    <row r="171" ht="12.75" hidden="1" x14ac:dyDescent="0.2"/>
    <row r="172" ht="12.75" hidden="1" x14ac:dyDescent="0.2"/>
    <row r="173" ht="12.75" hidden="1" x14ac:dyDescent="0.2"/>
    <row r="174" ht="12.75" hidden="1" x14ac:dyDescent="0.2"/>
    <row r="175" ht="12.75" hidden="1" x14ac:dyDescent="0.2"/>
    <row r="176" ht="12.75" hidden="1" x14ac:dyDescent="0.2"/>
    <row r="177" ht="12.75" hidden="1" x14ac:dyDescent="0.2"/>
    <row r="178" ht="12.75" hidden="1" x14ac:dyDescent="0.2"/>
    <row r="179" ht="12.75" hidden="1" x14ac:dyDescent="0.2"/>
    <row r="180" ht="12.75" hidden="1" x14ac:dyDescent="0.2"/>
    <row r="181" ht="12.75" hidden="1" x14ac:dyDescent="0.2"/>
    <row r="182" ht="12.75" hidden="1" x14ac:dyDescent="0.2"/>
    <row r="183" ht="12.75" hidden="1" x14ac:dyDescent="0.2"/>
    <row r="184" ht="12.75" hidden="1" x14ac:dyDescent="0.2"/>
    <row r="185" ht="12.75" hidden="1" x14ac:dyDescent="0.2"/>
    <row r="186" ht="12.75" hidden="1" x14ac:dyDescent="0.2"/>
    <row r="187" ht="12.75" hidden="1" x14ac:dyDescent="0.2"/>
    <row r="188" ht="12.75" hidden="1" x14ac:dyDescent="0.2"/>
    <row r="189" ht="12.75" hidden="1" x14ac:dyDescent="0.2"/>
    <row r="190" ht="12.75" hidden="1" x14ac:dyDescent="0.2"/>
    <row r="191" ht="12.75" hidden="1" x14ac:dyDescent="0.2"/>
    <row r="192" ht="12.75" hidden="1" x14ac:dyDescent="0.2"/>
    <row r="193" ht="12.75" hidden="1" x14ac:dyDescent="0.2"/>
    <row r="194" ht="12.75" hidden="1" x14ac:dyDescent="0.2"/>
    <row r="195" ht="12.75" hidden="1" x14ac:dyDescent="0.2"/>
    <row r="196" ht="12.75" hidden="1" x14ac:dyDescent="0.2"/>
    <row r="197" ht="12.75" hidden="1" x14ac:dyDescent="0.2"/>
    <row r="198" ht="12.75" hidden="1" x14ac:dyDescent="0.2"/>
    <row r="199" ht="12.75" hidden="1" x14ac:dyDescent="0.2"/>
    <row r="200" ht="12.75" hidden="1" x14ac:dyDescent="0.2"/>
    <row r="201" ht="12.75" hidden="1" x14ac:dyDescent="0.2"/>
    <row r="202" ht="12.75" hidden="1" x14ac:dyDescent="0.2"/>
    <row r="203" ht="12.75" hidden="1" x14ac:dyDescent="0.2"/>
    <row r="204" ht="12.75" hidden="1" x14ac:dyDescent="0.2"/>
    <row r="205" ht="12.75" hidden="1" x14ac:dyDescent="0.2"/>
    <row r="206" ht="12.75" hidden="1" x14ac:dyDescent="0.2"/>
    <row r="207" ht="12.75" hidden="1" x14ac:dyDescent="0.2"/>
    <row r="208" ht="12.75" hidden="1" x14ac:dyDescent="0.2"/>
    <row r="209" ht="12.75" hidden="1" x14ac:dyDescent="0.2"/>
    <row r="210" ht="12.75" hidden="1" x14ac:dyDescent="0.2"/>
    <row r="211" ht="12.75" hidden="1" x14ac:dyDescent="0.2"/>
    <row r="212" ht="12.75" hidden="1" x14ac:dyDescent="0.2"/>
    <row r="213" ht="12.75" hidden="1" x14ac:dyDescent="0.2"/>
    <row r="214" ht="12.75" hidden="1" x14ac:dyDescent="0.2"/>
    <row r="215" ht="12.75" hidden="1" x14ac:dyDescent="0.2"/>
    <row r="216" ht="12.75" hidden="1" x14ac:dyDescent="0.2"/>
    <row r="217" ht="12.75" hidden="1" x14ac:dyDescent="0.2"/>
    <row r="218" ht="12.75" hidden="1" x14ac:dyDescent="0.2"/>
    <row r="219" ht="12.75" hidden="1" x14ac:dyDescent="0.2"/>
    <row r="220" ht="12.75" hidden="1" x14ac:dyDescent="0.2"/>
    <row r="221" ht="12.75" hidden="1" x14ac:dyDescent="0.2"/>
    <row r="222" ht="12.75" hidden="1" x14ac:dyDescent="0.2"/>
    <row r="223" ht="12.75" hidden="1" x14ac:dyDescent="0.2"/>
    <row r="224" ht="12.75" hidden="1" x14ac:dyDescent="0.2"/>
    <row r="225" ht="12.75" hidden="1" x14ac:dyDescent="0.2"/>
    <row r="226" ht="12.75" hidden="1" x14ac:dyDescent="0.2"/>
    <row r="227" ht="12.75" hidden="1" x14ac:dyDescent="0.2"/>
    <row r="228" ht="12.75" hidden="1" x14ac:dyDescent="0.2"/>
    <row r="229" ht="12.75" hidden="1" x14ac:dyDescent="0.2"/>
    <row r="230" ht="12.75" hidden="1" x14ac:dyDescent="0.2"/>
    <row r="231" ht="12.75" hidden="1" x14ac:dyDescent="0.2"/>
    <row r="232" ht="12.75" hidden="1" x14ac:dyDescent="0.2"/>
    <row r="233" ht="12.75" hidden="1" x14ac:dyDescent="0.2"/>
    <row r="234" ht="12.75" hidden="1" x14ac:dyDescent="0.2"/>
    <row r="235" ht="12.75" hidden="1" x14ac:dyDescent="0.2"/>
    <row r="236" ht="12.75" hidden="1" x14ac:dyDescent="0.2"/>
    <row r="237" ht="12.75" hidden="1" x14ac:dyDescent="0.2"/>
    <row r="238" ht="12.75" hidden="1" x14ac:dyDescent="0.2"/>
    <row r="239" ht="12.75" hidden="1" x14ac:dyDescent="0.2"/>
    <row r="240" ht="12.75" hidden="1" x14ac:dyDescent="0.2"/>
    <row r="241" ht="12.75" hidden="1" x14ac:dyDescent="0.2"/>
    <row r="242" ht="12.75" hidden="1" x14ac:dyDescent="0.2"/>
    <row r="243" ht="12.75" hidden="1" x14ac:dyDescent="0.2"/>
    <row r="244" ht="12.75" hidden="1" x14ac:dyDescent="0.2"/>
    <row r="245" ht="12.75" hidden="1" x14ac:dyDescent="0.2"/>
    <row r="246" ht="12.75" hidden="1" x14ac:dyDescent="0.2"/>
    <row r="247" ht="12.75" hidden="1" x14ac:dyDescent="0.2"/>
    <row r="248" ht="12.75" hidden="1" x14ac:dyDescent="0.2"/>
    <row r="249" ht="12.75" hidden="1" x14ac:dyDescent="0.2"/>
    <row r="250" ht="12.75" hidden="1" x14ac:dyDescent="0.2"/>
    <row r="251" ht="12.75" hidden="1" x14ac:dyDescent="0.2"/>
    <row r="252" ht="12.75" hidden="1" x14ac:dyDescent="0.2"/>
    <row r="253" ht="12.75" hidden="1" x14ac:dyDescent="0.2"/>
    <row r="254" ht="12.75" hidden="1" x14ac:dyDescent="0.2"/>
    <row r="255" ht="12.75" hidden="1" x14ac:dyDescent="0.2"/>
    <row r="256" ht="12.75" hidden="1" x14ac:dyDescent="0.2"/>
    <row r="257" ht="12.75" hidden="1" x14ac:dyDescent="0.2"/>
    <row r="258" ht="12.75" hidden="1" x14ac:dyDescent="0.2"/>
    <row r="259" ht="12.75" hidden="1" x14ac:dyDescent="0.2"/>
    <row r="260" ht="12.75" hidden="1" x14ac:dyDescent="0.2"/>
    <row r="261" ht="12.75" hidden="1" x14ac:dyDescent="0.2"/>
    <row r="262" ht="12.75" hidden="1" x14ac:dyDescent="0.2"/>
    <row r="263" ht="12.75" hidden="1" x14ac:dyDescent="0.2"/>
    <row r="264" ht="12.75" hidden="1" x14ac:dyDescent="0.2"/>
    <row r="265" ht="12.75" hidden="1" x14ac:dyDescent="0.2"/>
    <row r="266" ht="12.75" hidden="1" x14ac:dyDescent="0.2"/>
    <row r="267" ht="12.75" hidden="1" x14ac:dyDescent="0.2"/>
    <row r="268" ht="12.75" hidden="1" x14ac:dyDescent="0.2"/>
    <row r="269" ht="12.75" hidden="1" x14ac:dyDescent="0.2"/>
    <row r="270" ht="12.75" hidden="1" x14ac:dyDescent="0.2"/>
    <row r="271" ht="12.75" hidden="1" x14ac:dyDescent="0.2"/>
    <row r="272" ht="12.75" hidden="1" x14ac:dyDescent="0.2"/>
    <row r="273" ht="12.75" hidden="1" x14ac:dyDescent="0.2"/>
    <row r="274" ht="12.75" hidden="1" x14ac:dyDescent="0.2"/>
    <row r="275" ht="12.75" hidden="1" x14ac:dyDescent="0.2"/>
    <row r="276" ht="12.75" hidden="1" x14ac:dyDescent="0.2"/>
    <row r="277" ht="12.75" hidden="1" x14ac:dyDescent="0.2"/>
    <row r="278" ht="12.75" hidden="1" x14ac:dyDescent="0.2"/>
    <row r="279" ht="12.75" hidden="1" x14ac:dyDescent="0.2"/>
    <row r="280" ht="12.75" hidden="1" x14ac:dyDescent="0.2"/>
    <row r="281" ht="12.75" hidden="1" x14ac:dyDescent="0.2"/>
    <row r="282" ht="12.75" hidden="1" x14ac:dyDescent="0.2"/>
    <row r="283" ht="12.75" hidden="1" x14ac:dyDescent="0.2"/>
    <row r="284" ht="12.75" hidden="1" x14ac:dyDescent="0.2"/>
    <row r="285" ht="12.75" hidden="1" x14ac:dyDescent="0.2"/>
    <row r="286" ht="12.75" hidden="1" x14ac:dyDescent="0.2"/>
    <row r="287" ht="12.75" hidden="1" x14ac:dyDescent="0.2"/>
    <row r="288" ht="12.75" hidden="1" x14ac:dyDescent="0.2"/>
    <row r="289" ht="12.75" hidden="1" x14ac:dyDescent="0.2"/>
    <row r="290" ht="12.75" hidden="1" x14ac:dyDescent="0.2"/>
    <row r="291" ht="12.75" hidden="1" x14ac:dyDescent="0.2"/>
    <row r="292" ht="12.75" hidden="1" x14ac:dyDescent="0.2"/>
    <row r="293" ht="12.75" hidden="1" x14ac:dyDescent="0.2"/>
    <row r="294" ht="12.75" hidden="1" x14ac:dyDescent="0.2"/>
    <row r="295" ht="12.75" hidden="1" x14ac:dyDescent="0.2"/>
    <row r="296" ht="12.75" hidden="1" x14ac:dyDescent="0.2"/>
    <row r="297" ht="12.75" hidden="1" x14ac:dyDescent="0.2"/>
    <row r="298" ht="12.75" hidden="1" x14ac:dyDescent="0.2"/>
    <row r="299" ht="12.75" hidden="1" x14ac:dyDescent="0.2"/>
    <row r="300" ht="12.75" hidden="1" x14ac:dyDescent="0.2"/>
    <row r="301" ht="12.75" hidden="1" x14ac:dyDescent="0.2"/>
    <row r="302" ht="12.75" hidden="1" x14ac:dyDescent="0.2"/>
    <row r="303" ht="12.75" hidden="1" x14ac:dyDescent="0.2"/>
    <row r="304" ht="12.75" hidden="1" x14ac:dyDescent="0.2"/>
    <row r="305" ht="12.75" hidden="1" x14ac:dyDescent="0.2"/>
    <row r="306" ht="12.75" hidden="1" x14ac:dyDescent="0.2"/>
    <row r="307" ht="12.75" hidden="1" x14ac:dyDescent="0.2"/>
    <row r="308" ht="12.75" hidden="1" x14ac:dyDescent="0.2"/>
    <row r="309" ht="12.75" hidden="1" x14ac:dyDescent="0.2"/>
    <row r="310" ht="12.75" hidden="1" x14ac:dyDescent="0.2"/>
    <row r="311" ht="12.75" hidden="1" x14ac:dyDescent="0.2"/>
    <row r="312" ht="12.75" hidden="1" x14ac:dyDescent="0.2"/>
    <row r="313" ht="12.75" hidden="1" x14ac:dyDescent="0.2"/>
    <row r="314" ht="12.75" hidden="1" x14ac:dyDescent="0.2"/>
    <row r="315" ht="12.75" hidden="1" x14ac:dyDescent="0.2"/>
    <row r="316" ht="12.75" hidden="1" x14ac:dyDescent="0.2"/>
    <row r="317" ht="12.75" hidden="1" x14ac:dyDescent="0.2"/>
    <row r="318" ht="12.75" hidden="1" x14ac:dyDescent="0.2"/>
    <row r="319" ht="12.75" hidden="1" x14ac:dyDescent="0.2"/>
    <row r="320" ht="12.75" hidden="1" x14ac:dyDescent="0.2"/>
    <row r="321" ht="12.75" hidden="1" x14ac:dyDescent="0.2"/>
    <row r="322" ht="12.75" hidden="1" x14ac:dyDescent="0.2"/>
    <row r="323" ht="12.75" hidden="1" x14ac:dyDescent="0.2"/>
    <row r="324" ht="12.75" hidden="1" x14ac:dyDescent="0.2"/>
    <row r="325" ht="12.75" hidden="1" x14ac:dyDescent="0.2"/>
    <row r="326" ht="12.75" hidden="1" x14ac:dyDescent="0.2"/>
    <row r="327" ht="12.75" hidden="1" x14ac:dyDescent="0.2"/>
    <row r="328" ht="12.75" hidden="1" x14ac:dyDescent="0.2"/>
    <row r="329" ht="12.75" hidden="1" x14ac:dyDescent="0.2"/>
    <row r="330" ht="12.75" hidden="1" x14ac:dyDescent="0.2"/>
    <row r="331" ht="12.75" hidden="1" x14ac:dyDescent="0.2"/>
    <row r="332" ht="12.75" hidden="1" x14ac:dyDescent="0.2"/>
    <row r="333" ht="12.75" hidden="1" x14ac:dyDescent="0.2"/>
    <row r="334" ht="12.75" hidden="1" x14ac:dyDescent="0.2"/>
    <row r="335" ht="12.75" hidden="1" x14ac:dyDescent="0.2"/>
    <row r="336" ht="12.75" hidden="1" x14ac:dyDescent="0.2"/>
    <row r="337" ht="12.75" hidden="1" x14ac:dyDescent="0.2"/>
    <row r="338" ht="12.75" hidden="1" x14ac:dyDescent="0.2"/>
    <row r="339" ht="12.75" hidden="1" x14ac:dyDescent="0.2"/>
    <row r="340" ht="12.75" hidden="1" x14ac:dyDescent="0.2"/>
    <row r="341" ht="12.75" hidden="1" x14ac:dyDescent="0.2"/>
    <row r="342" ht="12.75" hidden="1" x14ac:dyDescent="0.2"/>
    <row r="343" ht="12.75" hidden="1" x14ac:dyDescent="0.2"/>
    <row r="344" ht="12.75" hidden="1" x14ac:dyDescent="0.2"/>
    <row r="345" ht="12.75" hidden="1" x14ac:dyDescent="0.2"/>
    <row r="346" ht="12.75" hidden="1" x14ac:dyDescent="0.2"/>
    <row r="347" ht="12.75" hidden="1" x14ac:dyDescent="0.2"/>
    <row r="348" ht="12.75" hidden="1" x14ac:dyDescent="0.2"/>
    <row r="349" ht="12.75" hidden="1" x14ac:dyDescent="0.2"/>
    <row r="350" ht="12.75" hidden="1" x14ac:dyDescent="0.2"/>
    <row r="351" ht="12.75" hidden="1" x14ac:dyDescent="0.2"/>
    <row r="352" ht="12.75" hidden="1" x14ac:dyDescent="0.2"/>
    <row r="353" ht="12.75" hidden="1" x14ac:dyDescent="0.2"/>
    <row r="354" ht="12.75" hidden="1" x14ac:dyDescent="0.2"/>
    <row r="355" ht="12.75" hidden="1" x14ac:dyDescent="0.2"/>
    <row r="356" ht="12.75" hidden="1" x14ac:dyDescent="0.2"/>
    <row r="357" ht="12.75" hidden="1" x14ac:dyDescent="0.2"/>
    <row r="358" ht="12.75" hidden="1" x14ac:dyDescent="0.2"/>
    <row r="359" ht="12.75" hidden="1" x14ac:dyDescent="0.2"/>
    <row r="360" ht="12.75" hidden="1" x14ac:dyDescent="0.2"/>
    <row r="361" ht="12.75" hidden="1" x14ac:dyDescent="0.2"/>
    <row r="362" ht="12.75" hidden="1" x14ac:dyDescent="0.2"/>
    <row r="363" ht="12.75" hidden="1" x14ac:dyDescent="0.2"/>
    <row r="364" ht="12.75" hidden="1" x14ac:dyDescent="0.2"/>
    <row r="365" ht="12.75" hidden="1" x14ac:dyDescent="0.2"/>
    <row r="366" ht="12.75" hidden="1" x14ac:dyDescent="0.2"/>
    <row r="367" ht="12.75" hidden="1" x14ac:dyDescent="0.2"/>
    <row r="368" ht="12.75" hidden="1" x14ac:dyDescent="0.2"/>
    <row r="369" ht="12.75" hidden="1" x14ac:dyDescent="0.2"/>
    <row r="370" ht="12.75" hidden="1" x14ac:dyDescent="0.2"/>
    <row r="371" ht="12.75" hidden="1" x14ac:dyDescent="0.2"/>
    <row r="372" ht="12.75" hidden="1" x14ac:dyDescent="0.2"/>
    <row r="373" ht="12.75" hidden="1" x14ac:dyDescent="0.2"/>
    <row r="374" ht="12.75" hidden="1" x14ac:dyDescent="0.2"/>
    <row r="375" ht="12.75" hidden="1" x14ac:dyDescent="0.2"/>
    <row r="376" ht="12.75" hidden="1" x14ac:dyDescent="0.2"/>
    <row r="377" ht="12.75" hidden="1" x14ac:dyDescent="0.2"/>
    <row r="378" ht="12.75" hidden="1" x14ac:dyDescent="0.2"/>
    <row r="379" ht="12.75" hidden="1" x14ac:dyDescent="0.2"/>
    <row r="380" ht="12.75" hidden="1" x14ac:dyDescent="0.2"/>
    <row r="381" ht="12.75" hidden="1" x14ac:dyDescent="0.2"/>
    <row r="382" ht="12.75" hidden="1" x14ac:dyDescent="0.2"/>
    <row r="383" ht="12.75" hidden="1" x14ac:dyDescent="0.2"/>
    <row r="384" ht="12.75" hidden="1" x14ac:dyDescent="0.2"/>
    <row r="385" ht="12.75" hidden="1" x14ac:dyDescent="0.2"/>
    <row r="386" ht="12.75" hidden="1" x14ac:dyDescent="0.2"/>
    <row r="387" ht="12.75" hidden="1" x14ac:dyDescent="0.2"/>
    <row r="388" ht="12.75" hidden="1" x14ac:dyDescent="0.2"/>
    <row r="389" ht="12.75" hidden="1" x14ac:dyDescent="0.2"/>
    <row r="390" ht="12.75" hidden="1" x14ac:dyDescent="0.2"/>
    <row r="391" ht="12.75" hidden="1" x14ac:dyDescent="0.2"/>
    <row r="392" ht="12.75" hidden="1" x14ac:dyDescent="0.2"/>
    <row r="393" ht="12.75" hidden="1" x14ac:dyDescent="0.2"/>
    <row r="394" ht="12.75" hidden="1" x14ac:dyDescent="0.2"/>
    <row r="395" ht="12.75" hidden="1" x14ac:dyDescent="0.2"/>
    <row r="396" ht="12.75" hidden="1" x14ac:dyDescent="0.2"/>
    <row r="397" ht="12.75" hidden="1" x14ac:dyDescent="0.2"/>
    <row r="398" ht="12.75" hidden="1" x14ac:dyDescent="0.2"/>
    <row r="399" ht="12.75" hidden="1" x14ac:dyDescent="0.2"/>
    <row r="400" ht="12.75" hidden="1" x14ac:dyDescent="0.2"/>
    <row r="401" ht="12.75" hidden="1" x14ac:dyDescent="0.2"/>
    <row r="402" ht="12.75" hidden="1" x14ac:dyDescent="0.2"/>
    <row r="403" ht="12.75" hidden="1" x14ac:dyDescent="0.2"/>
    <row r="404" ht="12.75" hidden="1" x14ac:dyDescent="0.2"/>
    <row r="405" ht="12.75" hidden="1" x14ac:dyDescent="0.2"/>
    <row r="406" ht="12.75" hidden="1" x14ac:dyDescent="0.2"/>
    <row r="407" ht="12.75" hidden="1" x14ac:dyDescent="0.2"/>
    <row r="408" ht="12.75" hidden="1" x14ac:dyDescent="0.2"/>
    <row r="409" ht="12.75" hidden="1" x14ac:dyDescent="0.2"/>
    <row r="410" ht="12.75" hidden="1" x14ac:dyDescent="0.2"/>
    <row r="411" ht="12.75" hidden="1" x14ac:dyDescent="0.2"/>
    <row r="412" ht="12.75" hidden="1" x14ac:dyDescent="0.2"/>
    <row r="413" ht="12.75" hidden="1" x14ac:dyDescent="0.2"/>
    <row r="414" ht="12.75" hidden="1" x14ac:dyDescent="0.2"/>
    <row r="415" ht="12.75" hidden="1" x14ac:dyDescent="0.2"/>
    <row r="416" ht="12.75" hidden="1" x14ac:dyDescent="0.2"/>
    <row r="417" ht="12.75" hidden="1" x14ac:dyDescent="0.2"/>
    <row r="418" ht="12.75" hidden="1" x14ac:dyDescent="0.2"/>
    <row r="419" ht="12.75" hidden="1" x14ac:dyDescent="0.2"/>
    <row r="420" ht="12.75" hidden="1" x14ac:dyDescent="0.2"/>
    <row r="421" ht="12.75" hidden="1" x14ac:dyDescent="0.2"/>
    <row r="422" ht="12.75" hidden="1" x14ac:dyDescent="0.2"/>
    <row r="423" ht="12.75" hidden="1" x14ac:dyDescent="0.2"/>
    <row r="424" ht="12.75" hidden="1" x14ac:dyDescent="0.2"/>
    <row r="425" ht="12.75" hidden="1" x14ac:dyDescent="0.2"/>
    <row r="426" ht="12.75" hidden="1" x14ac:dyDescent="0.2"/>
    <row r="427" ht="12.75" hidden="1" x14ac:dyDescent="0.2"/>
    <row r="428" ht="12.75" hidden="1" x14ac:dyDescent="0.2"/>
    <row r="429" ht="12.75" hidden="1" x14ac:dyDescent="0.2"/>
    <row r="430" ht="12.75" hidden="1" x14ac:dyDescent="0.2"/>
    <row r="431" ht="12.75" hidden="1" x14ac:dyDescent="0.2"/>
    <row r="432" ht="12.75" hidden="1" x14ac:dyDescent="0.2"/>
    <row r="433" ht="12.75" hidden="1" x14ac:dyDescent="0.2"/>
    <row r="434" ht="12.75" hidden="1" x14ac:dyDescent="0.2"/>
    <row r="435" ht="12.75" hidden="1" x14ac:dyDescent="0.2"/>
    <row r="436" ht="12.75" hidden="1" x14ac:dyDescent="0.2"/>
    <row r="437" ht="12.75" hidden="1" x14ac:dyDescent="0.2"/>
    <row r="438" ht="12.75" hidden="1" x14ac:dyDescent="0.2"/>
    <row r="439" ht="12.75" hidden="1" x14ac:dyDescent="0.2"/>
    <row r="440" ht="12.75" hidden="1" x14ac:dyDescent="0.2"/>
    <row r="441" ht="12.75" hidden="1" x14ac:dyDescent="0.2"/>
    <row r="442" ht="12.75" hidden="1" x14ac:dyDescent="0.2"/>
    <row r="443" ht="12.75" hidden="1" x14ac:dyDescent="0.2"/>
    <row r="444" ht="12.75" hidden="1" x14ac:dyDescent="0.2"/>
    <row r="445" ht="12.75" hidden="1" x14ac:dyDescent="0.2"/>
    <row r="446" ht="12.75" hidden="1" x14ac:dyDescent="0.2"/>
    <row r="447" ht="12.75" hidden="1" x14ac:dyDescent="0.2"/>
    <row r="448" ht="12.75" hidden="1" x14ac:dyDescent="0.2"/>
    <row r="449" ht="12.75" hidden="1" x14ac:dyDescent="0.2"/>
    <row r="450" ht="12.75" hidden="1" x14ac:dyDescent="0.2"/>
    <row r="451" ht="12.75" hidden="1" x14ac:dyDescent="0.2"/>
    <row r="452" ht="12.75" hidden="1" x14ac:dyDescent="0.2"/>
    <row r="453" ht="12.75" hidden="1" x14ac:dyDescent="0.2"/>
    <row r="454" ht="12.75" hidden="1" x14ac:dyDescent="0.2"/>
    <row r="455" ht="12.75" hidden="1" x14ac:dyDescent="0.2"/>
    <row r="456" ht="12.75" hidden="1" x14ac:dyDescent="0.2"/>
    <row r="457" ht="12.75" hidden="1" x14ac:dyDescent="0.2"/>
    <row r="458" ht="12.75" hidden="1" x14ac:dyDescent="0.2"/>
    <row r="459" ht="12.75" hidden="1" x14ac:dyDescent="0.2"/>
    <row r="460" ht="12.75" hidden="1" x14ac:dyDescent="0.2"/>
    <row r="461" ht="12.75" hidden="1" x14ac:dyDescent="0.2"/>
    <row r="462" ht="12.75" hidden="1" x14ac:dyDescent="0.2"/>
    <row r="463" ht="12.75" hidden="1" x14ac:dyDescent="0.2"/>
    <row r="464" ht="12.75" hidden="1" x14ac:dyDescent="0.2"/>
    <row r="465" ht="12.75" hidden="1" x14ac:dyDescent="0.2"/>
    <row r="466" ht="12.75" hidden="1" x14ac:dyDescent="0.2"/>
    <row r="467" ht="12.75" hidden="1" x14ac:dyDescent="0.2"/>
    <row r="468" ht="12.75" hidden="1" x14ac:dyDescent="0.2"/>
    <row r="469" ht="12.75" hidden="1" x14ac:dyDescent="0.2"/>
    <row r="470" ht="12.75" hidden="1" x14ac:dyDescent="0.2"/>
    <row r="471" ht="12.75" hidden="1" x14ac:dyDescent="0.2"/>
    <row r="472" ht="12.75" hidden="1" x14ac:dyDescent="0.2"/>
    <row r="473" ht="12.75" hidden="1" x14ac:dyDescent="0.2"/>
    <row r="474" ht="12.75" hidden="1" x14ac:dyDescent="0.2"/>
    <row r="475" ht="12.75" hidden="1" x14ac:dyDescent="0.2"/>
    <row r="476" ht="12.75" hidden="1" x14ac:dyDescent="0.2"/>
    <row r="477" ht="12.75" hidden="1" x14ac:dyDescent="0.2"/>
    <row r="478" ht="12.75" hidden="1" x14ac:dyDescent="0.2"/>
    <row r="479" ht="12.75" hidden="1" x14ac:dyDescent="0.2"/>
    <row r="480" ht="12.75" hidden="1" x14ac:dyDescent="0.2"/>
    <row r="481" ht="12.75" hidden="1" x14ac:dyDescent="0.2"/>
    <row r="482" ht="12.75" hidden="1" x14ac:dyDescent="0.2"/>
    <row r="483" ht="12.75" hidden="1" x14ac:dyDescent="0.2"/>
    <row r="484" ht="12.75" hidden="1" x14ac:dyDescent="0.2"/>
    <row r="485" ht="12.75" hidden="1" x14ac:dyDescent="0.2"/>
    <row r="486" ht="12.75" hidden="1" x14ac:dyDescent="0.2"/>
    <row r="487" ht="12.75" hidden="1" x14ac:dyDescent="0.2"/>
    <row r="488" ht="12.75" hidden="1" x14ac:dyDescent="0.2"/>
    <row r="489" ht="12.75" hidden="1" x14ac:dyDescent="0.2"/>
    <row r="490" ht="12.75" hidden="1" x14ac:dyDescent="0.2"/>
    <row r="491" ht="12.75" hidden="1" x14ac:dyDescent="0.2"/>
    <row r="492" ht="12.75" hidden="1" x14ac:dyDescent="0.2"/>
    <row r="493" ht="12.75" hidden="1" x14ac:dyDescent="0.2"/>
    <row r="494" ht="12.75" hidden="1" x14ac:dyDescent="0.2"/>
    <row r="495" ht="12.75" hidden="1" x14ac:dyDescent="0.2"/>
    <row r="496" ht="12.75" hidden="1" x14ac:dyDescent="0.2"/>
    <row r="497" ht="12.75" hidden="1" x14ac:dyDescent="0.2"/>
    <row r="498" ht="12.75" hidden="1" x14ac:dyDescent="0.2"/>
    <row r="499" ht="12.75" hidden="1" x14ac:dyDescent="0.2"/>
    <row r="500" ht="12.75" hidden="1" x14ac:dyDescent="0.2"/>
    <row r="501" ht="12.75" hidden="1" x14ac:dyDescent="0.2"/>
    <row r="502" ht="12.75" hidden="1" x14ac:dyDescent="0.2"/>
    <row r="503" ht="12.75" hidden="1" x14ac:dyDescent="0.2"/>
    <row r="504" ht="12.75" hidden="1" x14ac:dyDescent="0.2"/>
    <row r="505" ht="12.75" hidden="1" x14ac:dyDescent="0.2"/>
    <row r="506" ht="12.75" hidden="1" x14ac:dyDescent="0.2"/>
    <row r="507" ht="12.75" hidden="1" x14ac:dyDescent="0.2"/>
    <row r="508" ht="12.75" hidden="1" x14ac:dyDescent="0.2"/>
    <row r="509" ht="12.75" hidden="1" x14ac:dyDescent="0.2"/>
    <row r="510" ht="12.75" hidden="1" x14ac:dyDescent="0.2"/>
    <row r="511" ht="12.75" hidden="1" x14ac:dyDescent="0.2"/>
    <row r="512" ht="12.75" hidden="1" x14ac:dyDescent="0.2"/>
    <row r="513" ht="12.75" hidden="1" x14ac:dyDescent="0.2"/>
    <row r="514" ht="12.75" hidden="1" x14ac:dyDescent="0.2"/>
    <row r="515" ht="12.75" hidden="1" x14ac:dyDescent="0.2"/>
    <row r="516" ht="12.75" hidden="1" x14ac:dyDescent="0.2"/>
    <row r="517" ht="12.75" hidden="1" x14ac:dyDescent="0.2"/>
    <row r="518" ht="12.75" hidden="1" x14ac:dyDescent="0.2"/>
    <row r="519" ht="12.75" hidden="1" x14ac:dyDescent="0.2"/>
    <row r="520" ht="12.75" hidden="1" x14ac:dyDescent="0.2"/>
    <row r="521" ht="12.75" hidden="1" x14ac:dyDescent="0.2"/>
    <row r="522" ht="12.75" hidden="1" x14ac:dyDescent="0.2"/>
    <row r="523" ht="12.75" hidden="1" x14ac:dyDescent="0.2"/>
    <row r="524" ht="12.75" hidden="1" x14ac:dyDescent="0.2"/>
    <row r="525" ht="12.75" hidden="1" x14ac:dyDescent="0.2"/>
    <row r="526" ht="12.75" hidden="1" x14ac:dyDescent="0.2"/>
    <row r="527" ht="12.75" hidden="1" x14ac:dyDescent="0.2"/>
    <row r="528" ht="12.75" hidden="1" x14ac:dyDescent="0.2"/>
    <row r="529" ht="12.75" hidden="1" x14ac:dyDescent="0.2"/>
    <row r="530" ht="12.75" hidden="1" x14ac:dyDescent="0.2"/>
    <row r="531" ht="12.75" hidden="1" x14ac:dyDescent="0.2"/>
    <row r="532" ht="12.75" hidden="1" x14ac:dyDescent="0.2"/>
    <row r="533" ht="12.75" hidden="1" x14ac:dyDescent="0.2"/>
    <row r="534" ht="12.75" hidden="1" x14ac:dyDescent="0.2"/>
    <row r="535" ht="12.75" hidden="1" x14ac:dyDescent="0.2"/>
    <row r="536" ht="12.75" hidden="1" x14ac:dyDescent="0.2"/>
    <row r="537" ht="12.75" hidden="1" x14ac:dyDescent="0.2"/>
    <row r="538" ht="12.75" hidden="1" x14ac:dyDescent="0.2"/>
    <row r="539" ht="12.75" hidden="1" x14ac:dyDescent="0.2"/>
    <row r="540" ht="12.75" hidden="1" x14ac:dyDescent="0.2"/>
    <row r="541" ht="12.75" hidden="1" x14ac:dyDescent="0.2"/>
    <row r="542" ht="12.75" hidden="1" x14ac:dyDescent="0.2"/>
    <row r="543" ht="12.75" hidden="1" x14ac:dyDescent="0.2"/>
    <row r="544" ht="12.75" hidden="1" x14ac:dyDescent="0.2"/>
    <row r="545" ht="12.75" hidden="1" x14ac:dyDescent="0.2"/>
    <row r="546" ht="12.75" hidden="1" x14ac:dyDescent="0.2"/>
    <row r="547" ht="12.75" hidden="1" x14ac:dyDescent="0.2"/>
    <row r="548" ht="12.75" hidden="1" x14ac:dyDescent="0.2"/>
    <row r="549" ht="12.75" hidden="1" x14ac:dyDescent="0.2"/>
    <row r="550" ht="12.75" hidden="1" x14ac:dyDescent="0.2"/>
    <row r="551" ht="12.75" hidden="1" x14ac:dyDescent="0.2"/>
    <row r="552" ht="12.75" hidden="1" x14ac:dyDescent="0.2"/>
    <row r="553" ht="12.75" hidden="1" x14ac:dyDescent="0.2"/>
    <row r="554" ht="12.75" hidden="1" x14ac:dyDescent="0.2"/>
    <row r="555" ht="12.75" hidden="1" x14ac:dyDescent="0.2"/>
    <row r="556" ht="12.75" hidden="1" x14ac:dyDescent="0.2"/>
    <row r="557" ht="12.75" hidden="1" x14ac:dyDescent="0.2"/>
    <row r="558" ht="12.75" hidden="1" x14ac:dyDescent="0.2"/>
    <row r="559" ht="12.75" hidden="1" x14ac:dyDescent="0.2"/>
    <row r="560" ht="12.75" hidden="1" x14ac:dyDescent="0.2"/>
    <row r="561" ht="12.75" hidden="1" x14ac:dyDescent="0.2"/>
    <row r="562" ht="12.75" hidden="1" x14ac:dyDescent="0.2"/>
    <row r="563" ht="12.75" hidden="1" x14ac:dyDescent="0.2"/>
    <row r="564" ht="12.75" hidden="1" x14ac:dyDescent="0.2"/>
    <row r="565" ht="12.75" hidden="1" x14ac:dyDescent="0.2"/>
    <row r="566" ht="12.75" hidden="1" x14ac:dyDescent="0.2"/>
    <row r="567" ht="12.75" hidden="1" x14ac:dyDescent="0.2"/>
    <row r="568" ht="12.75" hidden="1" x14ac:dyDescent="0.2"/>
    <row r="569" ht="12.75" hidden="1" x14ac:dyDescent="0.2"/>
    <row r="570" ht="12.75" hidden="1" x14ac:dyDescent="0.2"/>
    <row r="571" ht="12.75" hidden="1" x14ac:dyDescent="0.2"/>
    <row r="572" ht="12.75" hidden="1" x14ac:dyDescent="0.2"/>
    <row r="573" ht="12.75" hidden="1" x14ac:dyDescent="0.2"/>
    <row r="574" ht="12.75" hidden="1" x14ac:dyDescent="0.2"/>
    <row r="575" ht="12.75" hidden="1" x14ac:dyDescent="0.2"/>
    <row r="576" ht="12.75" hidden="1" x14ac:dyDescent="0.2"/>
    <row r="577" ht="12.75" hidden="1" x14ac:dyDescent="0.2"/>
    <row r="578" ht="12.75" hidden="1" x14ac:dyDescent="0.2"/>
    <row r="579" ht="12.75" hidden="1" x14ac:dyDescent="0.2"/>
    <row r="580" ht="12.75" hidden="1" x14ac:dyDescent="0.2"/>
    <row r="581" ht="12.75" hidden="1" x14ac:dyDescent="0.2"/>
    <row r="582" ht="12.75" hidden="1" x14ac:dyDescent="0.2"/>
    <row r="583" ht="12.75" hidden="1" x14ac:dyDescent="0.2"/>
    <row r="584" ht="12.75" hidden="1" x14ac:dyDescent="0.2"/>
    <row r="585" ht="12.75" hidden="1" x14ac:dyDescent="0.2"/>
    <row r="586" ht="12.75" hidden="1" x14ac:dyDescent="0.2"/>
    <row r="587" ht="12.75" hidden="1" x14ac:dyDescent="0.2"/>
    <row r="588" ht="12.75" hidden="1" x14ac:dyDescent="0.2"/>
    <row r="589" ht="12.75" hidden="1" x14ac:dyDescent="0.2"/>
    <row r="590" ht="12.75" hidden="1" x14ac:dyDescent="0.2"/>
    <row r="591" ht="12.75" hidden="1" x14ac:dyDescent="0.2"/>
    <row r="592" ht="12.75" hidden="1" x14ac:dyDescent="0.2"/>
    <row r="593" ht="12.75" hidden="1" x14ac:dyDescent="0.2"/>
    <row r="594" ht="12.75" hidden="1" x14ac:dyDescent="0.2"/>
    <row r="595" ht="12.75" hidden="1" x14ac:dyDescent="0.2"/>
    <row r="596" ht="12.75" hidden="1" x14ac:dyDescent="0.2"/>
    <row r="597" ht="12.75" hidden="1" x14ac:dyDescent="0.2"/>
    <row r="598" ht="12.75" hidden="1" x14ac:dyDescent="0.2"/>
    <row r="599" ht="12.75" hidden="1" x14ac:dyDescent="0.2"/>
    <row r="600" ht="12.75" hidden="1" x14ac:dyDescent="0.2"/>
    <row r="601" ht="12.75" hidden="1" x14ac:dyDescent="0.2"/>
    <row r="602" ht="12.75" hidden="1" x14ac:dyDescent="0.2"/>
    <row r="603" ht="12.75" hidden="1" x14ac:dyDescent="0.2"/>
    <row r="604" ht="12.75" hidden="1" x14ac:dyDescent="0.2"/>
    <row r="605" ht="12.75" hidden="1" x14ac:dyDescent="0.2"/>
    <row r="606" ht="12.75" hidden="1" x14ac:dyDescent="0.2"/>
    <row r="607" ht="12.75" hidden="1" x14ac:dyDescent="0.2"/>
    <row r="608" ht="12.75" hidden="1" x14ac:dyDescent="0.2"/>
    <row r="609" ht="12.75" hidden="1" x14ac:dyDescent="0.2"/>
    <row r="610" ht="12.75" hidden="1" x14ac:dyDescent="0.2"/>
    <row r="611" ht="12.75" hidden="1" x14ac:dyDescent="0.2"/>
    <row r="612" ht="12.75" hidden="1" x14ac:dyDescent="0.2"/>
    <row r="613" ht="12.75" hidden="1" x14ac:dyDescent="0.2"/>
    <row r="614" ht="12.75" hidden="1" x14ac:dyDescent="0.2"/>
    <row r="615" ht="12.75" hidden="1" x14ac:dyDescent="0.2"/>
    <row r="616" ht="12.75" hidden="1" x14ac:dyDescent="0.2"/>
    <row r="617" ht="12.75" hidden="1" x14ac:dyDescent="0.2"/>
    <row r="618" ht="12.75" hidden="1" x14ac:dyDescent="0.2"/>
    <row r="619" ht="12.75" hidden="1" x14ac:dyDescent="0.2"/>
    <row r="620" ht="12.75" hidden="1" x14ac:dyDescent="0.2"/>
    <row r="621" ht="12.75" hidden="1" x14ac:dyDescent="0.2"/>
    <row r="622" ht="12.75" hidden="1" x14ac:dyDescent="0.2"/>
    <row r="623" ht="12.75" hidden="1" x14ac:dyDescent="0.2"/>
    <row r="624" ht="12.75" hidden="1" x14ac:dyDescent="0.2"/>
    <row r="625" ht="12.75" hidden="1" x14ac:dyDescent="0.2"/>
    <row r="626" ht="12.75" hidden="1" x14ac:dyDescent="0.2"/>
    <row r="627" ht="12.75" hidden="1" x14ac:dyDescent="0.2"/>
    <row r="628" ht="12.75" hidden="1" x14ac:dyDescent="0.2"/>
    <row r="629" ht="12.75" hidden="1" x14ac:dyDescent="0.2"/>
    <row r="630" ht="12.75" hidden="1" x14ac:dyDescent="0.2"/>
    <row r="631" ht="12.75" hidden="1" x14ac:dyDescent="0.2"/>
    <row r="632" ht="12.75" hidden="1" x14ac:dyDescent="0.2"/>
    <row r="633" ht="12.75" hidden="1" x14ac:dyDescent="0.2"/>
    <row r="634" ht="12.75" hidden="1" x14ac:dyDescent="0.2"/>
    <row r="635" ht="12.75" hidden="1" x14ac:dyDescent="0.2"/>
    <row r="636" ht="12.75" hidden="1" x14ac:dyDescent="0.2"/>
    <row r="637" ht="12.75" hidden="1" x14ac:dyDescent="0.2"/>
    <row r="638" ht="12.75" hidden="1" x14ac:dyDescent="0.2"/>
    <row r="639" ht="12.75" hidden="1" x14ac:dyDescent="0.2"/>
    <row r="640" ht="12.75" hidden="1" x14ac:dyDescent="0.2"/>
    <row r="641" ht="12.75" hidden="1" x14ac:dyDescent="0.2"/>
    <row r="642" ht="12.75" hidden="1" x14ac:dyDescent="0.2"/>
    <row r="643" ht="12.75" hidden="1" x14ac:dyDescent="0.2"/>
    <row r="644" ht="12.75" hidden="1" x14ac:dyDescent="0.2"/>
    <row r="645" ht="12.75" hidden="1" x14ac:dyDescent="0.2"/>
    <row r="646" ht="12.75" hidden="1" x14ac:dyDescent="0.2"/>
    <row r="647" ht="12.75" hidden="1" x14ac:dyDescent="0.2"/>
    <row r="648" ht="12.75" hidden="1" x14ac:dyDescent="0.2"/>
    <row r="649" ht="12.75" hidden="1" x14ac:dyDescent="0.2"/>
    <row r="650" ht="12.75" hidden="1" x14ac:dyDescent="0.2"/>
    <row r="651" ht="12.75" hidden="1" x14ac:dyDescent="0.2"/>
    <row r="652" ht="12.75" hidden="1" x14ac:dyDescent="0.2"/>
    <row r="653" ht="12.75" hidden="1" x14ac:dyDescent="0.2"/>
    <row r="654" ht="12.75" hidden="1" x14ac:dyDescent="0.2"/>
    <row r="655" ht="12.75" hidden="1" x14ac:dyDescent="0.2"/>
    <row r="656" ht="12.75" hidden="1" x14ac:dyDescent="0.2"/>
    <row r="657" ht="12.75" hidden="1" x14ac:dyDescent="0.2"/>
    <row r="658" ht="12.75" hidden="1" x14ac:dyDescent="0.2"/>
    <row r="659" ht="12.75" hidden="1" x14ac:dyDescent="0.2"/>
    <row r="660" ht="12.75" hidden="1" x14ac:dyDescent="0.2"/>
    <row r="661" ht="12.75" hidden="1" x14ac:dyDescent="0.2"/>
    <row r="662" ht="12.75" hidden="1" x14ac:dyDescent="0.2"/>
    <row r="663" ht="12.75" hidden="1" x14ac:dyDescent="0.2"/>
    <row r="664" ht="12.75" hidden="1" x14ac:dyDescent="0.2"/>
    <row r="665" ht="12.75" hidden="1" x14ac:dyDescent="0.2"/>
    <row r="666" ht="12.75" hidden="1" x14ac:dyDescent="0.2"/>
    <row r="667" ht="12.75" hidden="1" x14ac:dyDescent="0.2"/>
    <row r="668" ht="12.75" hidden="1" x14ac:dyDescent="0.2"/>
    <row r="669" ht="12.75" hidden="1" x14ac:dyDescent="0.2"/>
    <row r="670" ht="12.75" hidden="1" x14ac:dyDescent="0.2"/>
    <row r="671" ht="12.75" hidden="1" x14ac:dyDescent="0.2"/>
    <row r="672" ht="12.75" hidden="1" x14ac:dyDescent="0.2"/>
    <row r="673" ht="12.75" hidden="1" x14ac:dyDescent="0.2"/>
    <row r="674" ht="12.75" hidden="1" x14ac:dyDescent="0.2"/>
    <row r="675" ht="12.75" hidden="1" x14ac:dyDescent="0.2"/>
    <row r="676" ht="12.75" hidden="1" x14ac:dyDescent="0.2"/>
    <row r="677" ht="12.75" hidden="1" x14ac:dyDescent="0.2"/>
    <row r="678" ht="12.75" hidden="1" x14ac:dyDescent="0.2"/>
    <row r="679" ht="12.75" hidden="1" x14ac:dyDescent="0.2"/>
    <row r="680" ht="12.75" hidden="1" x14ac:dyDescent="0.2"/>
    <row r="681" ht="12.75" hidden="1" x14ac:dyDescent="0.2"/>
    <row r="682" ht="12.75" hidden="1" x14ac:dyDescent="0.2"/>
    <row r="683" ht="12.75" hidden="1" x14ac:dyDescent="0.2"/>
    <row r="684" ht="12.75" hidden="1" x14ac:dyDescent="0.2"/>
    <row r="685" ht="12.75" hidden="1" x14ac:dyDescent="0.2"/>
    <row r="686" ht="12.75" hidden="1" x14ac:dyDescent="0.2"/>
    <row r="687" ht="12.75" hidden="1" x14ac:dyDescent="0.2"/>
    <row r="688" ht="12.75" hidden="1" x14ac:dyDescent="0.2"/>
    <row r="689" ht="12.75" hidden="1" x14ac:dyDescent="0.2"/>
    <row r="690" ht="12.75" hidden="1" x14ac:dyDescent="0.2"/>
    <row r="691" ht="12.75" hidden="1" x14ac:dyDescent="0.2"/>
    <row r="692" ht="12.75" hidden="1" x14ac:dyDescent="0.2"/>
    <row r="693" ht="12.75" hidden="1" x14ac:dyDescent="0.2"/>
    <row r="694" ht="12.75" hidden="1" x14ac:dyDescent="0.2"/>
    <row r="695" ht="12.75" hidden="1" x14ac:dyDescent="0.2"/>
    <row r="696" ht="12.75" hidden="1" x14ac:dyDescent="0.2"/>
    <row r="697" ht="12.75" hidden="1" x14ac:dyDescent="0.2"/>
    <row r="698" ht="12.75" hidden="1" x14ac:dyDescent="0.2"/>
    <row r="699" ht="12.75" hidden="1" x14ac:dyDescent="0.2"/>
    <row r="700" ht="12.75" hidden="1" x14ac:dyDescent="0.2"/>
    <row r="701" ht="12.75" hidden="1" x14ac:dyDescent="0.2"/>
    <row r="702" ht="12.75" hidden="1" x14ac:dyDescent="0.2"/>
    <row r="703" ht="12.75" hidden="1" x14ac:dyDescent="0.2"/>
    <row r="704" ht="12.75" hidden="1" x14ac:dyDescent="0.2"/>
    <row r="705" ht="12.75" hidden="1" x14ac:dyDescent="0.2"/>
    <row r="706" ht="12.75" hidden="1" x14ac:dyDescent="0.2"/>
    <row r="707" ht="12.75" hidden="1" x14ac:dyDescent="0.2"/>
    <row r="708" ht="12.75" hidden="1" x14ac:dyDescent="0.2"/>
    <row r="709" ht="12.75" hidden="1" x14ac:dyDescent="0.2"/>
    <row r="710" ht="12.75" hidden="1" x14ac:dyDescent="0.2"/>
    <row r="711" ht="12.75" hidden="1" x14ac:dyDescent="0.2"/>
    <row r="712" ht="12.75" hidden="1" x14ac:dyDescent="0.2"/>
    <row r="713" ht="12.75" hidden="1" x14ac:dyDescent="0.2"/>
    <row r="714" ht="12.75" hidden="1" x14ac:dyDescent="0.2"/>
    <row r="715" ht="12.75" hidden="1" x14ac:dyDescent="0.2"/>
    <row r="716" ht="12.75" hidden="1" x14ac:dyDescent="0.2"/>
    <row r="717" ht="12.75" hidden="1" x14ac:dyDescent="0.2"/>
    <row r="718" ht="12.75" hidden="1" x14ac:dyDescent="0.2"/>
    <row r="719" ht="12.75" hidden="1" x14ac:dyDescent="0.2"/>
    <row r="720" ht="12.75" hidden="1" x14ac:dyDescent="0.2"/>
    <row r="721" ht="12.75" hidden="1" x14ac:dyDescent="0.2"/>
    <row r="722" ht="12.75" hidden="1" x14ac:dyDescent="0.2"/>
    <row r="723" ht="12.75" hidden="1" x14ac:dyDescent="0.2"/>
    <row r="724" ht="12.75" hidden="1" x14ac:dyDescent="0.2"/>
    <row r="725" ht="12.75" hidden="1" x14ac:dyDescent="0.2"/>
    <row r="726" ht="12.75" hidden="1" x14ac:dyDescent="0.2"/>
    <row r="727" ht="12.75" hidden="1" x14ac:dyDescent="0.2"/>
    <row r="728" ht="12.75" hidden="1" x14ac:dyDescent="0.2"/>
    <row r="729" ht="12.75" hidden="1" x14ac:dyDescent="0.2"/>
    <row r="730" ht="12.75" hidden="1" x14ac:dyDescent="0.2"/>
    <row r="731" ht="12.75" hidden="1" x14ac:dyDescent="0.2"/>
    <row r="732" ht="12.75" hidden="1" x14ac:dyDescent="0.2"/>
    <row r="733" ht="12.75" hidden="1" x14ac:dyDescent="0.2"/>
    <row r="734" ht="12.75" hidden="1" x14ac:dyDescent="0.2"/>
    <row r="735" ht="12.75" hidden="1" x14ac:dyDescent="0.2"/>
    <row r="736" ht="12.75" hidden="1" x14ac:dyDescent="0.2"/>
    <row r="737" ht="12.75" hidden="1" x14ac:dyDescent="0.2"/>
    <row r="738" ht="12.75" hidden="1" x14ac:dyDescent="0.2"/>
    <row r="739" ht="12.75" hidden="1" x14ac:dyDescent="0.2"/>
    <row r="740" ht="12.75" hidden="1" x14ac:dyDescent="0.2"/>
    <row r="741" ht="12.75" hidden="1" x14ac:dyDescent="0.2"/>
    <row r="742" ht="12.75" hidden="1" x14ac:dyDescent="0.2"/>
    <row r="743" ht="12.75" hidden="1" x14ac:dyDescent="0.2"/>
    <row r="744" ht="12.75" hidden="1" x14ac:dyDescent="0.2"/>
    <row r="745" ht="12.75" hidden="1" x14ac:dyDescent="0.2"/>
    <row r="746" ht="12.75" hidden="1" x14ac:dyDescent="0.2"/>
    <row r="747" ht="12.75" hidden="1" x14ac:dyDescent="0.2"/>
    <row r="748" ht="12.75" hidden="1" x14ac:dyDescent="0.2"/>
    <row r="749" ht="12.75" hidden="1" x14ac:dyDescent="0.2"/>
    <row r="750" ht="12.75" hidden="1" x14ac:dyDescent="0.2"/>
    <row r="751" ht="12.75" hidden="1" x14ac:dyDescent="0.2"/>
    <row r="752" ht="12.75" hidden="1" x14ac:dyDescent="0.2"/>
    <row r="753" ht="12.75" hidden="1" x14ac:dyDescent="0.2"/>
    <row r="754" ht="12.75" hidden="1" x14ac:dyDescent="0.2"/>
    <row r="755" ht="12.75" hidden="1" x14ac:dyDescent="0.2"/>
    <row r="756" ht="12.75" hidden="1" x14ac:dyDescent="0.2"/>
    <row r="757" ht="12.75" hidden="1" x14ac:dyDescent="0.2"/>
    <row r="758" ht="12.75" hidden="1" x14ac:dyDescent="0.2"/>
    <row r="759" ht="12.75" hidden="1" x14ac:dyDescent="0.2"/>
    <row r="760" ht="12.75" hidden="1" x14ac:dyDescent="0.2"/>
    <row r="761" ht="12.75" hidden="1" x14ac:dyDescent="0.2"/>
    <row r="762" ht="12.75" hidden="1" x14ac:dyDescent="0.2"/>
    <row r="763" ht="12.75" hidden="1" x14ac:dyDescent="0.2"/>
    <row r="764" ht="12.75" hidden="1" x14ac:dyDescent="0.2"/>
    <row r="765" ht="12.75" hidden="1" x14ac:dyDescent="0.2"/>
    <row r="766" ht="12.75" hidden="1" x14ac:dyDescent="0.2"/>
    <row r="767" ht="12.75" hidden="1" x14ac:dyDescent="0.2"/>
    <row r="768" ht="12.75" hidden="1" x14ac:dyDescent="0.2"/>
    <row r="769" ht="12.75" hidden="1" x14ac:dyDescent="0.2"/>
    <row r="770" ht="12.75" hidden="1" x14ac:dyDescent="0.2"/>
    <row r="771" ht="12.75" hidden="1" x14ac:dyDescent="0.2"/>
    <row r="772" ht="12.75" hidden="1" x14ac:dyDescent="0.2"/>
    <row r="773" ht="12.75" hidden="1" x14ac:dyDescent="0.2"/>
    <row r="774" ht="12.75" hidden="1" x14ac:dyDescent="0.2"/>
    <row r="775" ht="12.75" hidden="1" x14ac:dyDescent="0.2"/>
    <row r="776" ht="12.75" hidden="1" x14ac:dyDescent="0.2"/>
    <row r="777" ht="12.75" hidden="1" x14ac:dyDescent="0.2"/>
    <row r="778" ht="12.75" hidden="1" x14ac:dyDescent="0.2"/>
    <row r="779" ht="12.75" hidden="1" x14ac:dyDescent="0.2"/>
    <row r="780" ht="12.75" hidden="1" x14ac:dyDescent="0.2"/>
    <row r="781" ht="12.75" hidden="1" x14ac:dyDescent="0.2"/>
    <row r="782" ht="12.75" hidden="1" x14ac:dyDescent="0.2"/>
    <row r="783" ht="12.75" hidden="1" x14ac:dyDescent="0.2"/>
    <row r="784" ht="12.75" hidden="1" x14ac:dyDescent="0.2"/>
    <row r="785" ht="12.75" hidden="1" x14ac:dyDescent="0.2"/>
    <row r="786" ht="12.75" hidden="1" x14ac:dyDescent="0.2"/>
    <row r="787" ht="12.75" hidden="1" x14ac:dyDescent="0.2"/>
    <row r="788" ht="12.75" hidden="1" x14ac:dyDescent="0.2"/>
    <row r="789" ht="12.75" hidden="1" x14ac:dyDescent="0.2"/>
    <row r="790" ht="12.75" hidden="1" x14ac:dyDescent="0.2"/>
    <row r="791" ht="12.75" hidden="1" x14ac:dyDescent="0.2"/>
    <row r="792" ht="12.75" hidden="1" x14ac:dyDescent="0.2"/>
    <row r="793" ht="12.75" hidden="1" x14ac:dyDescent="0.2"/>
    <row r="794" ht="12.75" hidden="1" x14ac:dyDescent="0.2"/>
    <row r="795" ht="12.75" hidden="1" x14ac:dyDescent="0.2"/>
    <row r="796" ht="12.75" hidden="1" x14ac:dyDescent="0.2"/>
    <row r="797" ht="12.75" hidden="1" x14ac:dyDescent="0.2"/>
    <row r="798" ht="12.75" hidden="1" x14ac:dyDescent="0.2"/>
    <row r="799" ht="12.75" hidden="1" x14ac:dyDescent="0.2"/>
    <row r="800" ht="12.75" hidden="1" x14ac:dyDescent="0.2"/>
    <row r="801" ht="12.75" hidden="1" x14ac:dyDescent="0.2"/>
    <row r="802" ht="12.75" hidden="1" x14ac:dyDescent="0.2"/>
    <row r="803" ht="12.75" hidden="1" x14ac:dyDescent="0.2"/>
    <row r="804" ht="12.75" hidden="1" x14ac:dyDescent="0.2"/>
    <row r="805" ht="12.75" hidden="1" x14ac:dyDescent="0.2"/>
    <row r="806" ht="12.75" hidden="1" x14ac:dyDescent="0.2"/>
    <row r="807" ht="12.75" hidden="1" x14ac:dyDescent="0.2"/>
    <row r="808" ht="12.75" hidden="1" x14ac:dyDescent="0.2"/>
    <row r="809" ht="12.75" hidden="1" x14ac:dyDescent="0.2"/>
    <row r="810" ht="12.75" hidden="1" x14ac:dyDescent="0.2"/>
    <row r="811" ht="12.75" hidden="1" x14ac:dyDescent="0.2"/>
    <row r="812" ht="12.75" hidden="1" x14ac:dyDescent="0.2"/>
    <row r="813" ht="12.75" hidden="1" x14ac:dyDescent="0.2"/>
    <row r="814" ht="12.75" hidden="1" x14ac:dyDescent="0.2"/>
    <row r="815" ht="12.75" hidden="1" x14ac:dyDescent="0.2"/>
    <row r="816" ht="12.75" hidden="1" x14ac:dyDescent="0.2"/>
    <row r="817" ht="12.75" hidden="1" x14ac:dyDescent="0.2"/>
    <row r="818" ht="12.75" hidden="1" x14ac:dyDescent="0.2"/>
    <row r="819" ht="12.75" hidden="1" x14ac:dyDescent="0.2"/>
    <row r="820" ht="12.75" hidden="1" x14ac:dyDescent="0.2"/>
    <row r="821" ht="12.75" hidden="1" x14ac:dyDescent="0.2"/>
    <row r="822" ht="12.75" hidden="1" x14ac:dyDescent="0.2"/>
    <row r="823" ht="12.75" hidden="1" x14ac:dyDescent="0.2"/>
    <row r="824" ht="12.75" hidden="1" x14ac:dyDescent="0.2"/>
    <row r="825" ht="12.75" hidden="1" x14ac:dyDescent="0.2"/>
    <row r="826" ht="12.75" hidden="1" x14ac:dyDescent="0.2"/>
    <row r="827" ht="12.75" hidden="1" x14ac:dyDescent="0.2"/>
    <row r="828" ht="12.75" hidden="1" x14ac:dyDescent="0.2"/>
    <row r="829" ht="12.75" hidden="1" x14ac:dyDescent="0.2"/>
    <row r="830" ht="12.75" hidden="1" x14ac:dyDescent="0.2"/>
    <row r="831" ht="12.75" hidden="1" x14ac:dyDescent="0.2"/>
    <row r="832" ht="12.75" hidden="1" x14ac:dyDescent="0.2"/>
    <row r="833" ht="12.75" hidden="1" x14ac:dyDescent="0.2"/>
    <row r="834" ht="12.75" hidden="1" x14ac:dyDescent="0.2"/>
    <row r="835" ht="12.75" hidden="1" x14ac:dyDescent="0.2"/>
    <row r="836" ht="12.75" hidden="1" x14ac:dyDescent="0.2"/>
    <row r="837" ht="12.75" hidden="1" x14ac:dyDescent="0.2"/>
    <row r="838" ht="12.75" hidden="1" x14ac:dyDescent="0.2"/>
    <row r="839" ht="12.75" hidden="1" x14ac:dyDescent="0.2"/>
    <row r="840" ht="12.75" hidden="1" x14ac:dyDescent="0.2"/>
    <row r="841" ht="12.75" hidden="1" x14ac:dyDescent="0.2"/>
    <row r="842" ht="12.75" hidden="1" x14ac:dyDescent="0.2"/>
    <row r="843" ht="12.75" hidden="1" x14ac:dyDescent="0.2"/>
    <row r="844" ht="12.75" hidden="1" x14ac:dyDescent="0.2"/>
    <row r="845" ht="12.75" hidden="1" x14ac:dyDescent="0.2"/>
    <row r="846" ht="12.75" hidden="1" x14ac:dyDescent="0.2"/>
    <row r="847" ht="12.75" hidden="1" x14ac:dyDescent="0.2"/>
    <row r="848" ht="12.75" hidden="1" x14ac:dyDescent="0.2"/>
    <row r="849" ht="12.75" hidden="1" x14ac:dyDescent="0.2"/>
    <row r="850" ht="12.75" hidden="1" x14ac:dyDescent="0.2"/>
    <row r="851" ht="12.75" hidden="1" x14ac:dyDescent="0.2"/>
    <row r="852" ht="12.75" hidden="1" x14ac:dyDescent="0.2"/>
    <row r="853" ht="12.75" hidden="1" x14ac:dyDescent="0.2"/>
    <row r="854" ht="12.75" hidden="1" x14ac:dyDescent="0.2"/>
    <row r="855" ht="12.75" hidden="1" x14ac:dyDescent="0.2"/>
    <row r="856" ht="12.75" hidden="1" x14ac:dyDescent="0.2"/>
    <row r="857" ht="12.75" hidden="1" x14ac:dyDescent="0.2"/>
    <row r="858" ht="12.75" hidden="1" x14ac:dyDescent="0.2"/>
    <row r="859" ht="12.75" hidden="1" x14ac:dyDescent="0.2"/>
    <row r="860" ht="12.75" hidden="1" x14ac:dyDescent="0.2"/>
    <row r="861" ht="12.75" hidden="1" x14ac:dyDescent="0.2"/>
    <row r="862" ht="12.75" hidden="1" x14ac:dyDescent="0.2"/>
    <row r="863" ht="12.75" hidden="1" x14ac:dyDescent="0.2"/>
    <row r="864" ht="12.75" hidden="1" x14ac:dyDescent="0.2"/>
    <row r="865" ht="12.75" hidden="1" x14ac:dyDescent="0.2"/>
    <row r="866" ht="12.75" hidden="1" x14ac:dyDescent="0.2"/>
    <row r="867" ht="12.75" hidden="1" x14ac:dyDescent="0.2"/>
    <row r="868" ht="12.75" hidden="1" x14ac:dyDescent="0.2"/>
    <row r="869" ht="12.75" hidden="1" x14ac:dyDescent="0.2"/>
    <row r="870" ht="12.75" hidden="1" x14ac:dyDescent="0.2"/>
    <row r="871" ht="12.75" hidden="1" x14ac:dyDescent="0.2"/>
    <row r="872" ht="12.75" hidden="1" x14ac:dyDescent="0.2"/>
    <row r="873" ht="12.75" hidden="1" x14ac:dyDescent="0.2"/>
    <row r="874" ht="12.75" hidden="1" x14ac:dyDescent="0.2"/>
    <row r="875" ht="12.75" hidden="1" x14ac:dyDescent="0.2"/>
    <row r="876" ht="12.75" hidden="1" x14ac:dyDescent="0.2"/>
    <row r="877" ht="12.75" hidden="1" x14ac:dyDescent="0.2"/>
    <row r="878" ht="12.75" hidden="1" x14ac:dyDescent="0.2"/>
    <row r="879" ht="12.75" hidden="1" x14ac:dyDescent="0.2"/>
    <row r="880" ht="12.75" hidden="1" x14ac:dyDescent="0.2"/>
    <row r="881" ht="12.75" hidden="1" x14ac:dyDescent="0.2"/>
    <row r="882" ht="12.75" hidden="1" x14ac:dyDescent="0.2"/>
    <row r="883" ht="12.75" hidden="1" x14ac:dyDescent="0.2"/>
    <row r="884" ht="12.75" hidden="1" x14ac:dyDescent="0.2"/>
    <row r="885" ht="12.75" hidden="1" x14ac:dyDescent="0.2"/>
    <row r="886" ht="12.75" hidden="1" x14ac:dyDescent="0.2"/>
    <row r="887" ht="12.75" hidden="1" x14ac:dyDescent="0.2"/>
    <row r="888" ht="12.75" hidden="1" x14ac:dyDescent="0.2"/>
    <row r="889" ht="12.75" hidden="1" x14ac:dyDescent="0.2"/>
    <row r="890" ht="12.75" hidden="1" x14ac:dyDescent="0.2"/>
    <row r="891" ht="12.75" hidden="1" x14ac:dyDescent="0.2"/>
    <row r="892" ht="12.75" hidden="1" x14ac:dyDescent="0.2"/>
    <row r="893" ht="12.75" hidden="1" x14ac:dyDescent="0.2"/>
    <row r="894" ht="12.75" hidden="1" x14ac:dyDescent="0.2"/>
    <row r="895" ht="12.75" hidden="1" x14ac:dyDescent="0.2"/>
    <row r="896" ht="12.75" hidden="1" x14ac:dyDescent="0.2"/>
    <row r="897" ht="12.75" hidden="1" x14ac:dyDescent="0.2"/>
    <row r="898" ht="12.75" hidden="1" x14ac:dyDescent="0.2"/>
    <row r="899" ht="12.75" hidden="1" x14ac:dyDescent="0.2"/>
    <row r="900" ht="12.75" hidden="1" x14ac:dyDescent="0.2"/>
    <row r="901" ht="12.75" hidden="1" x14ac:dyDescent="0.2"/>
    <row r="902" ht="12.75" hidden="1" x14ac:dyDescent="0.2"/>
    <row r="903" ht="12.75" hidden="1" x14ac:dyDescent="0.2"/>
    <row r="904" ht="12.75" hidden="1" x14ac:dyDescent="0.2"/>
    <row r="905" ht="12.75" hidden="1" x14ac:dyDescent="0.2"/>
    <row r="906" ht="12.75" hidden="1" x14ac:dyDescent="0.2"/>
    <row r="907" ht="12.75" hidden="1" x14ac:dyDescent="0.2"/>
    <row r="908" ht="12.75" hidden="1" x14ac:dyDescent="0.2"/>
    <row r="909" ht="12.75" hidden="1" x14ac:dyDescent="0.2"/>
    <row r="910" ht="12.75" hidden="1" x14ac:dyDescent="0.2"/>
    <row r="911" ht="12.75" hidden="1" x14ac:dyDescent="0.2"/>
    <row r="912" ht="12.75" hidden="1" x14ac:dyDescent="0.2"/>
    <row r="913" ht="12.75" hidden="1" x14ac:dyDescent="0.2"/>
    <row r="914" ht="12.75" hidden="1" x14ac:dyDescent="0.2"/>
    <row r="915" ht="12.75" hidden="1" x14ac:dyDescent="0.2"/>
    <row r="916" ht="12.75" hidden="1" x14ac:dyDescent="0.2"/>
    <row r="917" ht="12.75" hidden="1" x14ac:dyDescent="0.2"/>
    <row r="918" ht="12.75" hidden="1" x14ac:dyDescent="0.2"/>
    <row r="919" ht="12.75" hidden="1" x14ac:dyDescent="0.2"/>
    <row r="920" ht="12.75" hidden="1" x14ac:dyDescent="0.2"/>
    <row r="921" ht="12.75" hidden="1" x14ac:dyDescent="0.2"/>
    <row r="922" ht="12.75" hidden="1" x14ac:dyDescent="0.2"/>
    <row r="923" ht="12.75" hidden="1" x14ac:dyDescent="0.2"/>
    <row r="924" ht="12.75" hidden="1" x14ac:dyDescent="0.2"/>
    <row r="925" ht="12.75" hidden="1" x14ac:dyDescent="0.2"/>
    <row r="926" ht="12.75" hidden="1" x14ac:dyDescent="0.2"/>
    <row r="927" ht="12.75" hidden="1" x14ac:dyDescent="0.2"/>
    <row r="928" ht="12.75" hidden="1" x14ac:dyDescent="0.2"/>
    <row r="929" ht="12.75" hidden="1" x14ac:dyDescent="0.2"/>
    <row r="930" ht="12.75" hidden="1" x14ac:dyDescent="0.2"/>
    <row r="931" ht="12.75" hidden="1" x14ac:dyDescent="0.2"/>
    <row r="932" ht="12.75" hidden="1" x14ac:dyDescent="0.2"/>
    <row r="933" ht="12.75" hidden="1" x14ac:dyDescent="0.2"/>
    <row r="934" ht="12.75" hidden="1" x14ac:dyDescent="0.2"/>
    <row r="935" ht="12.75" hidden="1" x14ac:dyDescent="0.2"/>
    <row r="936" ht="12.75" hidden="1" x14ac:dyDescent="0.2"/>
    <row r="937" ht="12.75" hidden="1" x14ac:dyDescent="0.2"/>
    <row r="938" ht="12.75" hidden="1" x14ac:dyDescent="0.2"/>
    <row r="939" ht="12.75" hidden="1" x14ac:dyDescent="0.2"/>
    <row r="940" ht="12.75" hidden="1" x14ac:dyDescent="0.2"/>
    <row r="941" ht="12.75" hidden="1" x14ac:dyDescent="0.2"/>
    <row r="942" ht="12.75" hidden="1" x14ac:dyDescent="0.2"/>
    <row r="943" ht="12.75" hidden="1" x14ac:dyDescent="0.2"/>
    <row r="944" ht="12.75" hidden="1" x14ac:dyDescent="0.2"/>
    <row r="945" ht="12.75" hidden="1" x14ac:dyDescent="0.2"/>
    <row r="946" ht="12.75" hidden="1" x14ac:dyDescent="0.2"/>
    <row r="947" ht="12.75" hidden="1" x14ac:dyDescent="0.2"/>
    <row r="948" ht="12.75" hidden="1" x14ac:dyDescent="0.2"/>
    <row r="949" ht="12.75" hidden="1" x14ac:dyDescent="0.2"/>
    <row r="950" ht="12.75" hidden="1" x14ac:dyDescent="0.2"/>
    <row r="951" ht="12.75" hidden="1" x14ac:dyDescent="0.2"/>
    <row r="952" ht="12.75" hidden="1" x14ac:dyDescent="0.2"/>
    <row r="953" ht="12.75" hidden="1" x14ac:dyDescent="0.2"/>
    <row r="954" ht="12.75" hidden="1" x14ac:dyDescent="0.2"/>
    <row r="955" ht="12.75" hidden="1" x14ac:dyDescent="0.2"/>
    <row r="956" ht="12.75" hidden="1" x14ac:dyDescent="0.2"/>
    <row r="957" ht="12.75" hidden="1" x14ac:dyDescent="0.2"/>
    <row r="958" ht="12.75" hidden="1" x14ac:dyDescent="0.2"/>
    <row r="959" ht="12.75" hidden="1" x14ac:dyDescent="0.2"/>
    <row r="960" ht="12.75" hidden="1" x14ac:dyDescent="0.2"/>
    <row r="961" ht="12.75" hidden="1" x14ac:dyDescent="0.2"/>
    <row r="962" ht="12.75" hidden="1" x14ac:dyDescent="0.2"/>
    <row r="963" ht="12.75" hidden="1" x14ac:dyDescent="0.2"/>
    <row r="964" ht="12.75" hidden="1" x14ac:dyDescent="0.2"/>
    <row r="965" ht="12.75" hidden="1" x14ac:dyDescent="0.2"/>
    <row r="966" ht="12.75" hidden="1" x14ac:dyDescent="0.2"/>
    <row r="967" ht="12.75" hidden="1" x14ac:dyDescent="0.2"/>
    <row r="968" ht="12.75" hidden="1" x14ac:dyDescent="0.2"/>
    <row r="969" ht="12.75" hidden="1" x14ac:dyDescent="0.2"/>
    <row r="970" ht="12.75" hidden="1" x14ac:dyDescent="0.2"/>
    <row r="971" ht="12.75" hidden="1" x14ac:dyDescent="0.2"/>
    <row r="972" ht="12.75" hidden="1" x14ac:dyDescent="0.2"/>
    <row r="973" ht="12.75" hidden="1" x14ac:dyDescent="0.2"/>
    <row r="974" ht="12.75" hidden="1" x14ac:dyDescent="0.2"/>
    <row r="975" ht="12.75" hidden="1" x14ac:dyDescent="0.2"/>
    <row r="976" ht="12.75" hidden="1" x14ac:dyDescent="0.2"/>
    <row r="977" ht="12.75" hidden="1" x14ac:dyDescent="0.2"/>
    <row r="978" ht="12.75" hidden="1" x14ac:dyDescent="0.2"/>
    <row r="979" ht="12.75" hidden="1" x14ac:dyDescent="0.2"/>
    <row r="980" ht="12.75" hidden="1" x14ac:dyDescent="0.2"/>
    <row r="981" ht="12.75" hidden="1" x14ac:dyDescent="0.2"/>
    <row r="982" ht="12.75" hidden="1" x14ac:dyDescent="0.2"/>
    <row r="983" ht="12.75" hidden="1" x14ac:dyDescent="0.2"/>
    <row r="984" ht="12.75" hidden="1" x14ac:dyDescent="0.2"/>
    <row r="985" ht="12.75" hidden="1" x14ac:dyDescent="0.2"/>
    <row r="986" ht="12.75" hidden="1" x14ac:dyDescent="0.2"/>
    <row r="987" ht="12.75" hidden="1" x14ac:dyDescent="0.2"/>
    <row r="988" ht="12.75" hidden="1" x14ac:dyDescent="0.2"/>
    <row r="989" ht="12.75" hidden="1" x14ac:dyDescent="0.2"/>
    <row r="990" ht="12.75" hidden="1" x14ac:dyDescent="0.2"/>
    <row r="991" ht="12.75" hidden="1" x14ac:dyDescent="0.2"/>
    <row r="992" ht="12.75" hidden="1" x14ac:dyDescent="0.2"/>
    <row r="993" ht="12.75" hidden="1" x14ac:dyDescent="0.2"/>
    <row r="994" ht="12.75" hidden="1" x14ac:dyDescent="0.2"/>
    <row r="995" ht="12.75" hidden="1" x14ac:dyDescent="0.2"/>
    <row r="996" ht="12.75" hidden="1" x14ac:dyDescent="0.2"/>
    <row r="997" ht="12.75" hidden="1" x14ac:dyDescent="0.2"/>
    <row r="998" ht="12.75" hidden="1" x14ac:dyDescent="0.2"/>
    <row r="999" ht="12.75" hidden="1" x14ac:dyDescent="0.2"/>
    <row r="1000" ht="12.75" hidden="1" x14ac:dyDescent="0.2"/>
  </sheetData>
  <autoFilter ref="A1:A1000">
    <filterColumn colId="0">
      <filters>
        <filter val="01-2026"/>
        <filter val="02-2025"/>
        <filter val="02-2026"/>
        <filter val="03-2025"/>
        <filter val="04-2025"/>
        <filter val="05-2025"/>
        <filter val="06-2025"/>
        <filter val="07-2025"/>
        <filter val="08-2025"/>
        <filter val="09-2025"/>
        <filter val="10-2025"/>
        <filter val="11-2025"/>
        <filter val="12-2025"/>
        <filter val="Grand Total"/>
      </filters>
    </filterColumn>
  </autoFilter>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8"/>
  <sheetViews>
    <sheetView workbookViewId="0">
      <selection activeCell="D4" sqref="D4"/>
    </sheetView>
  </sheetViews>
  <sheetFormatPr defaultColWidth="12.5703125" defaultRowHeight="15.75" customHeight="1" x14ac:dyDescent="0.2"/>
  <cols>
    <col min="1" max="1" width="17" customWidth="1"/>
  </cols>
  <sheetData>
    <row r="1" spans="1:5" ht="15.75" customHeight="1" x14ac:dyDescent="0.25">
      <c r="A1" s="1" t="s">
        <v>3</v>
      </c>
      <c r="B1" s="3" t="s">
        <v>265</v>
      </c>
    </row>
    <row r="2" spans="1:5" ht="15.75" customHeight="1" x14ac:dyDescent="0.25">
      <c r="A2" s="1" t="s">
        <v>14</v>
      </c>
      <c r="B2" s="2">
        <f>SUMIF(ecommerce_data!D:D, A2, ecommerce_data!F:F)</f>
        <v>33773.839999999982</v>
      </c>
      <c r="D2" s="9" t="s">
        <v>3</v>
      </c>
      <c r="E2" s="6" t="s">
        <v>265</v>
      </c>
    </row>
    <row r="3" spans="1:5" ht="15.75" customHeight="1" x14ac:dyDescent="0.25">
      <c r="A3" s="1" t="s">
        <v>18</v>
      </c>
      <c r="B3" s="2">
        <f>SUMIF(ecommerce_data!D:D, A3, ecommerce_data!F:F)</f>
        <v>37711.93</v>
      </c>
      <c r="D3" s="10" t="s">
        <v>14</v>
      </c>
      <c r="E3" s="11">
        <v>33773.839999999982</v>
      </c>
    </row>
    <row r="4" spans="1:5" ht="15.75" customHeight="1" x14ac:dyDescent="0.25">
      <c r="A4" s="1" t="s">
        <v>28</v>
      </c>
      <c r="B4" s="2">
        <f>SUMIF(ecommerce_data!D:D, A4, ecommerce_data!F:F)</f>
        <v>39833</v>
      </c>
      <c r="D4" s="12" t="s">
        <v>18</v>
      </c>
      <c r="E4" s="13">
        <v>37711.93</v>
      </c>
    </row>
    <row r="5" spans="1:5" ht="15.75" customHeight="1" x14ac:dyDescent="0.25">
      <c r="A5" s="1" t="s">
        <v>35</v>
      </c>
      <c r="B5" s="2">
        <f>SUMIF(ecommerce_data!D:D, A5, ecommerce_data!F:F)</f>
        <v>34808.080000000002</v>
      </c>
      <c r="D5" s="12" t="s">
        <v>28</v>
      </c>
      <c r="E5" s="13">
        <v>39833</v>
      </c>
    </row>
    <row r="6" spans="1:5" ht="15.75" customHeight="1" x14ac:dyDescent="0.25">
      <c r="A6" s="1" t="s">
        <v>51</v>
      </c>
      <c r="B6" s="2">
        <f>SUMIF(ecommerce_data!D:D, A6, ecommerce_data!F:F)</f>
        <v>30151.089999999997</v>
      </c>
      <c r="D6" s="12" t="s">
        <v>51</v>
      </c>
      <c r="E6" s="13">
        <v>30151.089999999997</v>
      </c>
    </row>
    <row r="7" spans="1:5" ht="12.75" x14ac:dyDescent="0.2">
      <c r="D7" s="12" t="s">
        <v>35</v>
      </c>
      <c r="E7" s="13">
        <v>34808.080000000002</v>
      </c>
    </row>
    <row r="8" spans="1:5" ht="12.75" x14ac:dyDescent="0.2">
      <c r="D8" s="14" t="s">
        <v>247</v>
      </c>
      <c r="E8" s="15">
        <v>176277.94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4"/>
  <sheetViews>
    <sheetView workbookViewId="0">
      <selection activeCell="J9" sqref="J9"/>
    </sheetView>
  </sheetViews>
  <sheetFormatPr defaultColWidth="12.5703125" defaultRowHeight="15.75" customHeight="1" x14ac:dyDescent="0.2"/>
  <sheetData>
    <row r="1" spans="1:2" x14ac:dyDescent="0.2">
      <c r="A1" s="3" t="str">
        <f ca="1">IFERROR(__xludf.DUMMYFUNCTION("Query(ecommerce_data!A:F, ""select A, sum(F) 
  where F is not null 
  group by A 
  order by sum(F) desc 
  limit 5"", 1)"),"Customer ID")</f>
        <v>Customer ID</v>
      </c>
      <c r="B1" s="2" t="str">
        <f ca="1">IFERROR(__xludf.DUMMYFUNCTION("""COMPUTED_VALUE"""),"sum Purchase Amount")</f>
        <v>sum Purchase Amount</v>
      </c>
    </row>
    <row r="2" spans="1:2" x14ac:dyDescent="0.2">
      <c r="A2" s="2" t="str">
        <f ca="1">IFERROR(__xludf.DUMMYFUNCTION("""COMPUTED_VALUE"""),"C183")</f>
        <v>C183</v>
      </c>
      <c r="B2" s="2">
        <f ca="1">IFERROR(__xludf.DUMMYFUNCTION("""COMPUTED_VALUE"""),2892.28)</f>
        <v>2892.28</v>
      </c>
    </row>
    <row r="3" spans="1:2" x14ac:dyDescent="0.2">
      <c r="A3" s="2" t="str">
        <f ca="1">IFERROR(__xludf.DUMMYFUNCTION("""COMPUTED_VALUE"""),"C075")</f>
        <v>C075</v>
      </c>
      <c r="B3" s="2">
        <f ca="1">IFERROR(__xludf.DUMMYFUNCTION("""COMPUTED_VALUE"""),2652.27)</f>
        <v>2652.27</v>
      </c>
    </row>
    <row r="4" spans="1:2" x14ac:dyDescent="0.2">
      <c r="A4" s="2" t="str">
        <f ca="1">IFERROR(__xludf.DUMMYFUNCTION("""COMPUTED_VALUE"""),"C199")</f>
        <v>C199</v>
      </c>
      <c r="B4" s="2">
        <f ca="1">IFERROR(__xludf.DUMMYFUNCTION("""COMPUTED_VALUE"""),2515.2)</f>
        <v>2515.1999999999998</v>
      </c>
    </row>
    <row r="5" spans="1:2" x14ac:dyDescent="0.2">
      <c r="A5" s="2" t="str">
        <f ca="1">IFERROR(__xludf.DUMMYFUNCTION("""COMPUTED_VALUE"""),"C134")</f>
        <v>C134</v>
      </c>
      <c r="B5" s="2">
        <f ca="1">IFERROR(__xludf.DUMMYFUNCTION("""COMPUTED_VALUE"""),2011.91999999999)</f>
        <v>2011.9199999999901</v>
      </c>
    </row>
    <row r="6" spans="1:2" x14ac:dyDescent="0.2">
      <c r="A6" s="2" t="str">
        <f ca="1">IFERROR(__xludf.DUMMYFUNCTION("""COMPUTED_VALUE"""),"C006")</f>
        <v>C006</v>
      </c>
      <c r="B6" s="2">
        <f ca="1">IFERROR(__xludf.DUMMYFUNCTION("""COMPUTED_VALUE"""),1982.29)</f>
        <v>1982.29</v>
      </c>
    </row>
    <row r="8" spans="1:2" x14ac:dyDescent="0.2">
      <c r="A8" s="9" t="s">
        <v>0</v>
      </c>
      <c r="B8" s="6" t="s">
        <v>266</v>
      </c>
    </row>
    <row r="9" spans="1:2" x14ac:dyDescent="0.2">
      <c r="A9" s="10" t="s">
        <v>128</v>
      </c>
      <c r="B9" s="11">
        <v>1982.29</v>
      </c>
    </row>
    <row r="10" spans="1:2" x14ac:dyDescent="0.2">
      <c r="A10" s="12" t="s">
        <v>50</v>
      </c>
      <c r="B10" s="13">
        <v>2652.27</v>
      </c>
    </row>
    <row r="11" spans="1:2" x14ac:dyDescent="0.2">
      <c r="A11" s="12" t="s">
        <v>161</v>
      </c>
      <c r="B11" s="13">
        <v>2011.9199999999901</v>
      </c>
    </row>
    <row r="12" spans="1:2" x14ac:dyDescent="0.2">
      <c r="A12" s="12" t="s">
        <v>26</v>
      </c>
      <c r="B12" s="13">
        <v>2892.28</v>
      </c>
    </row>
    <row r="13" spans="1:2" x14ac:dyDescent="0.2">
      <c r="A13" s="12" t="s">
        <v>86</v>
      </c>
      <c r="B13" s="13">
        <v>2515.1999999999998</v>
      </c>
    </row>
    <row r="14" spans="1:2" x14ac:dyDescent="0.2">
      <c r="A14" s="14" t="s">
        <v>247</v>
      </c>
      <c r="B14" s="15">
        <v>12053.959999999988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showGridLines="0" tabSelected="1" zoomScaleNormal="100" workbookViewId="0">
      <selection activeCell="J56" sqref="J56"/>
    </sheetView>
  </sheetViews>
  <sheetFormatPr defaultColWidth="12.5703125" defaultRowHeight="15.75" customHeight="1" x14ac:dyDescent="0.2"/>
  <sheetData>
    <row r="1" spans="1:26" x14ac:dyDescent="0.2">
      <c r="A1" s="4"/>
      <c r="B1" s="4"/>
      <c r="C1" s="4"/>
      <c r="D1" s="4"/>
      <c r="E1" s="4"/>
      <c r="F1" s="4"/>
      <c r="G1" s="4"/>
      <c r="H1" s="4"/>
      <c r="I1" s="4"/>
      <c r="J1" s="4"/>
      <c r="K1" s="4"/>
      <c r="L1" s="4"/>
      <c r="M1" s="4"/>
      <c r="N1" s="4"/>
      <c r="O1" s="4"/>
      <c r="P1" s="4"/>
      <c r="Q1" s="4"/>
      <c r="R1" s="4"/>
      <c r="S1" s="4"/>
      <c r="T1" s="4"/>
      <c r="U1" s="4"/>
      <c r="V1" s="4"/>
      <c r="W1" s="4"/>
      <c r="X1" s="4"/>
      <c r="Y1" s="4"/>
      <c r="Z1" s="4"/>
    </row>
    <row r="2" spans="1:26" x14ac:dyDescent="0.2">
      <c r="A2" s="4"/>
      <c r="B2" s="4"/>
      <c r="C2" s="4"/>
      <c r="D2" s="4"/>
      <c r="E2" s="4"/>
      <c r="F2" s="4"/>
      <c r="G2" s="4"/>
      <c r="H2" s="4"/>
      <c r="I2" s="4"/>
      <c r="J2" s="4"/>
      <c r="K2" s="4"/>
      <c r="L2" s="4"/>
      <c r="M2" s="4"/>
      <c r="N2" s="4"/>
      <c r="O2" s="4"/>
      <c r="P2" s="4"/>
      <c r="Q2" s="4"/>
      <c r="R2" s="4"/>
      <c r="S2" s="4"/>
      <c r="T2" s="4"/>
      <c r="U2" s="4"/>
      <c r="V2" s="4"/>
      <c r="W2" s="4"/>
      <c r="X2" s="4"/>
      <c r="Y2" s="4"/>
      <c r="Z2" s="4"/>
    </row>
    <row r="3" spans="1:26" x14ac:dyDescent="0.2">
      <c r="A3" s="4"/>
      <c r="B3" s="4"/>
      <c r="C3" s="4"/>
      <c r="D3" s="4"/>
      <c r="E3" s="4"/>
      <c r="F3" s="4"/>
      <c r="G3" s="4"/>
      <c r="H3" s="4"/>
      <c r="I3" s="4"/>
      <c r="J3" s="4"/>
      <c r="K3" s="4"/>
      <c r="L3" s="4"/>
      <c r="M3" s="4"/>
      <c r="N3" s="4"/>
      <c r="O3" s="4"/>
      <c r="P3" s="4"/>
      <c r="Q3" s="4"/>
      <c r="R3" s="4"/>
      <c r="S3" s="4"/>
      <c r="T3" s="4"/>
      <c r="U3" s="4"/>
      <c r="V3" s="4"/>
      <c r="W3" s="4"/>
      <c r="X3" s="4"/>
      <c r="Y3" s="4"/>
      <c r="Z3" s="4"/>
    </row>
    <row r="4" spans="1:26" x14ac:dyDescent="0.2">
      <c r="A4" s="4"/>
      <c r="B4" s="4"/>
      <c r="C4" s="4"/>
      <c r="D4" s="4"/>
      <c r="E4" s="4"/>
      <c r="F4" s="4"/>
      <c r="G4" s="4"/>
      <c r="H4" s="4"/>
      <c r="I4" s="4"/>
      <c r="J4" s="4"/>
      <c r="K4" s="4"/>
      <c r="L4" s="4"/>
      <c r="M4" s="4"/>
      <c r="N4" s="4"/>
      <c r="O4" s="4"/>
      <c r="P4" s="4"/>
      <c r="Q4" s="4"/>
      <c r="R4" s="4"/>
      <c r="S4" s="4"/>
      <c r="T4" s="4"/>
      <c r="U4" s="4"/>
      <c r="V4" s="4"/>
      <c r="W4" s="4"/>
      <c r="X4" s="4"/>
      <c r="Y4" s="4"/>
      <c r="Z4" s="4"/>
    </row>
    <row r="5" spans="1:26" x14ac:dyDescent="0.2">
      <c r="A5" s="4"/>
      <c r="B5" s="4"/>
      <c r="C5" s="4"/>
      <c r="D5" s="4"/>
      <c r="E5" s="4"/>
      <c r="F5" s="4"/>
      <c r="G5" s="4"/>
      <c r="H5" s="4"/>
      <c r="I5" s="4"/>
      <c r="J5" s="4"/>
      <c r="K5" s="4"/>
      <c r="L5" s="4"/>
      <c r="M5" s="4"/>
      <c r="N5" s="4"/>
      <c r="O5" s="4"/>
      <c r="P5" s="4"/>
      <c r="Q5" s="4"/>
      <c r="R5" s="4"/>
      <c r="S5" s="4"/>
      <c r="T5" s="4"/>
      <c r="U5" s="4"/>
      <c r="V5" s="4"/>
      <c r="W5" s="4"/>
      <c r="X5" s="4"/>
      <c r="Y5" s="4"/>
      <c r="Z5" s="4"/>
    </row>
    <row r="6" spans="1:26" x14ac:dyDescent="0.2">
      <c r="A6" s="4"/>
      <c r="B6" s="4"/>
      <c r="C6" s="4"/>
      <c r="D6" s="4"/>
      <c r="E6" s="4"/>
      <c r="F6" s="4"/>
      <c r="G6" s="4"/>
      <c r="H6" s="4"/>
      <c r="I6" s="4"/>
      <c r="J6" s="4"/>
      <c r="K6" s="4"/>
      <c r="L6" s="4"/>
      <c r="M6" s="4"/>
      <c r="N6" s="4"/>
      <c r="O6" s="4"/>
      <c r="P6" s="4"/>
      <c r="Q6" s="4"/>
      <c r="R6" s="4"/>
      <c r="S6" s="4"/>
      <c r="T6" s="4"/>
      <c r="U6" s="4"/>
      <c r="V6" s="4"/>
      <c r="W6" s="4"/>
      <c r="X6" s="4"/>
      <c r="Y6" s="4"/>
      <c r="Z6" s="4"/>
    </row>
    <row r="7" spans="1:26" x14ac:dyDescent="0.2">
      <c r="A7" s="4"/>
      <c r="B7" s="4"/>
      <c r="C7" s="4"/>
      <c r="D7" s="4"/>
      <c r="E7" s="4"/>
      <c r="F7" s="4"/>
      <c r="G7" s="4"/>
      <c r="H7" s="4"/>
      <c r="I7" s="4"/>
      <c r="J7" s="4"/>
      <c r="K7" s="4"/>
      <c r="L7" s="4"/>
      <c r="M7" s="4"/>
      <c r="N7" s="4"/>
      <c r="O7" s="4"/>
      <c r="P7" s="4"/>
      <c r="Q7" s="4"/>
      <c r="R7" s="4"/>
      <c r="S7" s="4"/>
      <c r="T7" s="4"/>
      <c r="U7" s="4"/>
      <c r="V7" s="4"/>
      <c r="W7" s="4"/>
      <c r="X7" s="4"/>
      <c r="Y7" s="4"/>
      <c r="Z7" s="4"/>
    </row>
    <row r="8" spans="1:26" x14ac:dyDescent="0.2">
      <c r="A8" s="4"/>
      <c r="B8" s="4"/>
      <c r="C8" s="4"/>
      <c r="D8" s="4"/>
      <c r="E8" s="4"/>
      <c r="F8" s="4"/>
      <c r="G8" s="4"/>
      <c r="H8" s="4"/>
      <c r="I8" s="4"/>
      <c r="J8" s="4"/>
      <c r="K8" s="4"/>
      <c r="L8" s="4"/>
      <c r="M8" s="4"/>
      <c r="N8" s="4"/>
      <c r="O8" s="4"/>
      <c r="P8" s="4"/>
      <c r="Q8" s="4"/>
      <c r="R8" s="4"/>
      <c r="S8" s="4"/>
      <c r="T8" s="4"/>
      <c r="U8" s="4"/>
      <c r="V8" s="4"/>
      <c r="W8" s="4"/>
      <c r="X8" s="4"/>
      <c r="Y8" s="4"/>
      <c r="Z8" s="4"/>
    </row>
    <row r="9" spans="1:26" x14ac:dyDescent="0.2">
      <c r="A9" s="4"/>
      <c r="B9" s="4"/>
      <c r="C9" s="4"/>
      <c r="D9" s="4"/>
      <c r="E9" s="4"/>
      <c r="F9" s="4"/>
      <c r="G9" s="4"/>
      <c r="H9" s="4"/>
      <c r="I9" s="4"/>
      <c r="J9" s="4"/>
      <c r="K9" s="4"/>
      <c r="L9" s="4"/>
      <c r="M9" s="4"/>
      <c r="N9" s="4"/>
      <c r="O9" s="4"/>
      <c r="P9" s="4"/>
      <c r="Q9" s="4"/>
      <c r="R9" s="4"/>
      <c r="S9" s="4"/>
      <c r="T9" s="4"/>
      <c r="U9" s="4"/>
      <c r="V9" s="4"/>
      <c r="W9" s="4"/>
      <c r="X9" s="4"/>
      <c r="Y9" s="4"/>
      <c r="Z9" s="4"/>
    </row>
    <row r="10" spans="1:26" x14ac:dyDescent="0.2">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2">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2">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2">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2">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2">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2">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2">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2">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2">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2">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2">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2">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2">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2">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2">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2">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2">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2">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2">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2">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2">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2">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2">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2">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2">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x14ac:dyDescent="0.2">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x14ac:dyDescent="0.2">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x14ac:dyDescent="0.2">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x14ac:dyDescent="0.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x14ac:dyDescent="0.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x14ac:dyDescent="0.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x14ac:dyDescent="0.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x14ac:dyDescent="0.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x14ac:dyDescent="0.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B5"/>
  <sheetViews>
    <sheetView showGridLines="0" workbookViewId="0"/>
  </sheetViews>
  <sheetFormatPr defaultColWidth="12.5703125" defaultRowHeight="15.75" customHeight="1" x14ac:dyDescent="0.2"/>
  <sheetData>
    <row r="1" spans="1:2" ht="12.75" x14ac:dyDescent="0.2">
      <c r="A1" s="2" t="s">
        <v>9</v>
      </c>
      <c r="B1" s="2" t="s">
        <v>246</v>
      </c>
    </row>
    <row r="2" spans="1:2" ht="12.75" hidden="1" x14ac:dyDescent="0.2">
      <c r="A2" s="2"/>
      <c r="B2" s="2">
        <v>0</v>
      </c>
    </row>
    <row r="3" spans="1:2" ht="12.75" x14ac:dyDescent="0.2">
      <c r="A3" s="2" t="s">
        <v>267</v>
      </c>
      <c r="B3" s="2">
        <v>196</v>
      </c>
    </row>
    <row r="4" spans="1:2" ht="12.75" x14ac:dyDescent="0.2">
      <c r="A4" s="2" t="s">
        <v>268</v>
      </c>
      <c r="B4" s="2">
        <v>172</v>
      </c>
    </row>
    <row r="5" spans="1:2" ht="12.75" x14ac:dyDescent="0.2">
      <c r="A5" s="2" t="s">
        <v>247</v>
      </c>
      <c r="B5" s="2">
        <v>196</v>
      </c>
    </row>
  </sheetData>
  <autoFilter ref="A1:B4">
    <filterColumn colId="0">
      <filters>
        <filter val="New"/>
        <filter val="Repeat"/>
      </filters>
    </filterColumn>
  </autoFilter>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A10"/>
  <sheetViews>
    <sheetView showGridLines="0" workbookViewId="0"/>
  </sheetViews>
  <sheetFormatPr defaultColWidth="12.5703125" defaultRowHeight="15.75" customHeight="1" x14ac:dyDescent="0.2"/>
  <sheetData>
    <row r="1" spans="1:1" ht="12.75" x14ac:dyDescent="0.2">
      <c r="A1" s="5" t="s">
        <v>6</v>
      </c>
    </row>
    <row r="2" spans="1:1" ht="12.75" hidden="1" x14ac:dyDescent="0.2">
      <c r="A2" s="6" t="s">
        <v>37</v>
      </c>
    </row>
    <row r="3" spans="1:1" ht="12.75" x14ac:dyDescent="0.2">
      <c r="A3" s="7" t="s">
        <v>33</v>
      </c>
    </row>
    <row r="4" spans="1:1" ht="12.75" x14ac:dyDescent="0.2">
      <c r="A4" s="7" t="s">
        <v>16</v>
      </c>
    </row>
    <row r="5" spans="1:1" ht="12.75" x14ac:dyDescent="0.2">
      <c r="A5" s="7" t="s">
        <v>25</v>
      </c>
    </row>
    <row r="6" spans="1:1" ht="12.75" x14ac:dyDescent="0.2">
      <c r="A6" s="7" t="s">
        <v>70</v>
      </c>
    </row>
    <row r="7" spans="1:1" ht="12.75" x14ac:dyDescent="0.2">
      <c r="A7" s="7" t="s">
        <v>30</v>
      </c>
    </row>
    <row r="8" spans="1:1" ht="12.75" x14ac:dyDescent="0.2">
      <c r="A8" s="7" t="s">
        <v>22</v>
      </c>
    </row>
    <row r="9" spans="1:1" ht="12.75" x14ac:dyDescent="0.2">
      <c r="A9" s="7" t="s">
        <v>269</v>
      </c>
    </row>
    <row r="10" spans="1:1" ht="12.75" x14ac:dyDescent="0.2">
      <c r="A10" s="8" t="s">
        <v>247</v>
      </c>
    </row>
  </sheetData>
  <autoFilter ref="A1:B9">
    <filterColumn colId="0">
      <filters>
        <filter val="Boston"/>
        <filter val="Chicago"/>
        <filter val="Houston"/>
        <filter val="Los Angeles"/>
        <filter val="Miami"/>
        <filter val="New York"/>
        <filter val="Seattle"/>
      </filters>
    </filterColumn>
  </autoFilter>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Sheet2</vt:lpstr>
      <vt:lpstr>Sheet3</vt:lpstr>
      <vt:lpstr>ecommerce_data</vt:lpstr>
      <vt:lpstr>Pivot Table 14</vt:lpstr>
      <vt:lpstr>Pivot Table 12</vt:lpstr>
      <vt:lpstr>Pivot Table 11</vt:lpstr>
      <vt:lpstr>Pivot Table 9</vt:lpstr>
      <vt:lpstr>Total Revenue</vt:lpstr>
      <vt:lpstr>Top_Customers</vt:lpstr>
      <vt:lpstr>Dashboard</vt:lpstr>
      <vt:lpstr>Pivot Table 4</vt:lpstr>
      <vt:lpstr>Pivot Table 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Windows User</cp:lastModifiedBy>
  <dcterms:created xsi:type="dcterms:W3CDTF">2026-02-25T13:19:07Z</dcterms:created>
  <dcterms:modified xsi:type="dcterms:W3CDTF">2026-02-26T08:15:37Z</dcterms:modified>
</cp:coreProperties>
</file>